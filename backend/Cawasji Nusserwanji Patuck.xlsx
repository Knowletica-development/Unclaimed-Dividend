
<file path=[Content_Types].xml><?xml version="1.0" encoding="utf-8"?>
<Types xmlns="http://schemas.openxmlformats.org/package/2006/content-types">
  <Default Extension="bin" ContentType="application/vnd.ms-office.activeX"/>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Y:\ATI\Patuck\"/>
    </mc:Choice>
  </mc:AlternateContent>
  <xr:revisionPtr revIDLastSave="0" documentId="13_ncr:1_{BE45A6FC-6846-4B17-9AC0-08150B1D6D8E}" xr6:coauthVersionLast="47" xr6:coauthVersionMax="47" xr10:uidLastSave="{00000000-0000-0000-0000-000000000000}"/>
  <bookViews>
    <workbookView xWindow="-120" yWindow="-120" windowWidth="24240" windowHeight="13020" activeTab="4" xr2:uid="{00000000-000D-0000-FFFF-FFFF00000000}"/>
  </bookViews>
  <sheets>
    <sheet name="Sheet5" sheetId="5" r:id="rId1"/>
    <sheet name="Jeevanthika" sheetId="3" r:id="rId2"/>
    <sheet name="Iepf search" sheetId="4" r:id="rId3"/>
    <sheet name="mca" sheetId="6" r:id="rId4"/>
    <sheet name="List" sheetId="2" r:id="rId5"/>
  </sheets>
  <externalReferences>
    <externalReference r:id="rId6"/>
    <externalReference r:id="rId7"/>
    <externalReference r:id="rId8"/>
    <externalReference r:id="rId9"/>
  </externalReferences>
  <definedNames>
    <definedName name="classOfShares">'[1]Class of Shares'!$A$2:$A$3</definedName>
    <definedName name="Country">[2]Sheet3!$A$2:$A$247</definedName>
    <definedName name="formula">[3]Sheet3!$AS$2:$AS$3</definedName>
    <definedName name="InvestmentType">[4]Sheet3!$AN$2:$AN$10</definedName>
  </definedNames>
  <calcPr calcId="181029" calcOnSave="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97" i="2" l="1"/>
  <c r="R72" i="2"/>
  <c r="R71" i="2"/>
  <c r="R47" i="2"/>
  <c r="R46" i="2"/>
  <c r="R99" i="2" l="1"/>
  <c r="R102" i="2" l="1"/>
  <c r="R95" i="2"/>
  <c r="R54" i="2"/>
  <c r="R55" i="2"/>
  <c r="R53" i="2"/>
  <c r="R23" i="2"/>
  <c r="R69" i="2"/>
  <c r="R70" i="2"/>
  <c r="R93" i="2"/>
  <c r="R91" i="2"/>
  <c r="R89" i="2"/>
  <c r="R85" i="2"/>
  <c r="R86" i="2"/>
  <c r="R87" i="2"/>
  <c r="R82" i="2"/>
  <c r="R83" i="2"/>
  <c r="R80" i="2"/>
  <c r="R66" i="2"/>
  <c r="R67" i="2"/>
  <c r="R64" i="2"/>
  <c r="R63" i="2"/>
  <c r="R51" i="2"/>
  <c r="R49" i="2"/>
  <c r="R43" i="2"/>
  <c r="R44" i="2"/>
  <c r="R104" i="2" l="1"/>
  <c r="R77" i="2"/>
  <c r="R38" i="2"/>
  <c r="R39" i="2"/>
  <c r="R40" i="2"/>
  <c r="R41" i="2"/>
  <c r="R33" i="2"/>
  <c r="R34" i="2"/>
  <c r="R35" i="2"/>
  <c r="R31" i="2"/>
  <c r="R29" i="2"/>
  <c r="R28" i="2"/>
  <c r="R61" i="2" l="1"/>
  <c r="R21" i="2"/>
  <c r="R19" i="2"/>
  <c r="R17" i="2" l="1"/>
  <c r="R15" i="2" l="1"/>
  <c r="R13" i="2"/>
  <c r="R8" i="2"/>
  <c r="R9" i="2"/>
  <c r="R10" i="2"/>
  <c r="R11" i="2"/>
  <c r="R7" i="2" l="1"/>
  <c r="R5" i="2" l="1"/>
  <c r="R3" i="2" l="1"/>
  <c r="R26" i="2" s="1"/>
</calcChain>
</file>

<file path=xl/sharedStrings.xml><?xml version="1.0" encoding="utf-8"?>
<sst xmlns="http://schemas.openxmlformats.org/spreadsheetml/2006/main" count="1829" uniqueCount="512">
  <si>
    <t>Investor First Name</t>
  </si>
  <si>
    <t>Investor Middle Name</t>
  </si>
  <si>
    <t>Investor Last Name</t>
  </si>
  <si>
    <t>Father/Husband First Name</t>
  </si>
  <si>
    <t>Father/Husband Middle Name</t>
  </si>
  <si>
    <t>Father/Husband Last Name</t>
  </si>
  <si>
    <t>Address</t>
  </si>
  <si>
    <t>Country</t>
  </si>
  <si>
    <t>State</t>
  </si>
  <si>
    <t>District</t>
  </si>
  <si>
    <t>Pin Code</t>
  </si>
  <si>
    <t>Folio Number</t>
  </si>
  <si>
    <t>DP Id-Client Id-Account Number</t>
  </si>
  <si>
    <t>Shares transferred</t>
  </si>
  <si>
    <r>
      <t xml:space="preserve">Proposed Date of transfer to IEPF
</t>
    </r>
    <r>
      <rPr>
        <b/>
        <sz val="11"/>
        <color indexed="10"/>
        <rFont val="Calibri"/>
        <family val="2"/>
      </rPr>
      <t>(DD-MON-YYYY)</t>
    </r>
  </si>
  <si>
    <t>Date of Birth</t>
  </si>
  <si>
    <t>Aadhar Number</t>
  </si>
  <si>
    <t>Joint Holder Name</t>
  </si>
  <si>
    <t>CAWASJI</t>
  </si>
  <si>
    <t>NUSSERWANJI</t>
  </si>
  <si>
    <t>PATUCK</t>
  </si>
  <si>
    <t>NA</t>
  </si>
  <si>
    <t xml:space="preserve">CO MS PATRICK  SONS ISMAIL BLDG D N ROAD BOMBAY </t>
  </si>
  <si>
    <t>INDIA</t>
  </si>
  <si>
    <t>Maharashtra</t>
  </si>
  <si>
    <t>VOX0004020</t>
  </si>
  <si>
    <t>10t17,19</t>
  </si>
  <si>
    <t>Voltas Ltd</t>
  </si>
  <si>
    <t>Invester Name</t>
  </si>
  <si>
    <t>Father Name</t>
  </si>
  <si>
    <t>Company Name</t>
  </si>
  <si>
    <t>Number of Share</t>
  </si>
  <si>
    <t>Action</t>
  </si>
  <si>
    <t>CAWASJI NUSSERWANJI PATUCK</t>
  </si>
  <si>
    <t>N A</t>
  </si>
  <si>
    <t>PHILLIPS CARBON BLACK LTD.</t>
  </si>
  <si>
    <t>PIROJA FRAMJI PATUCK</t>
  </si>
  <si>
    <t>FRAMJI KAIKHUSHROO PATUCK</t>
  </si>
  <si>
    <t>TATA CHEMICALS LTD.</t>
  </si>
  <si>
    <t>FRAMJI PATUCK</t>
  </si>
  <si>
    <t>TATA MOTORS LTD.</t>
  </si>
  <si>
    <t>ROBERTE CAWASJI PATUCK</t>
  </si>
  <si>
    <t>SKF India Ltd</t>
  </si>
  <si>
    <t>MR CAWASJI</t>
  </si>
  <si>
    <t>RUSTOM SORABJI PATUCK</t>
  </si>
  <si>
    <t>SEREN SORABJI PATUCK</t>
  </si>
  <si>
    <t>SORABJI PATUCK</t>
  </si>
  <si>
    <t>SOONI CAWASJI PATUCK</t>
  </si>
  <si>
    <t>PATUCK CAWASJI</t>
  </si>
  <si>
    <t>Tata Steel</t>
  </si>
  <si>
    <t>SORAB PESTONJI PATUCK</t>
  </si>
  <si>
    <t>MR P S PATUCK</t>
  </si>
  <si>
    <t>MR MINOCHEHER NUSSERWANJI LALA</t>
  </si>
  <si>
    <t>NUSSERWANJI SERVICE</t>
  </si>
  <si>
    <t>Grasim</t>
  </si>
  <si>
    <t>ALOO NUSSERWANJI GOLIMAR</t>
  </si>
  <si>
    <t>NA NA NA</t>
  </si>
  <si>
    <t>RELIANCE INDUSTRIES LTD.</t>
  </si>
  <si>
    <t>ARDESHIR NUSSERWANJI CHINOY</t>
  </si>
  <si>
    <t>NUSSERWANJI KAIKHUSHRU CHINOY</t>
  </si>
  <si>
    <t>Akzo Nobel India Limited</t>
  </si>
  <si>
    <t>BANOO NUSSERWANJI CAMA</t>
  </si>
  <si>
    <t>SIEMENS LTD.</t>
  </si>
  <si>
    <t>NA NA</t>
  </si>
  <si>
    <t>JK LAKSHMI CEMENT LTD.</t>
  </si>
  <si>
    <t>BANOOBAI NUSSERWANJI MODY</t>
  </si>
  <si>
    <t>DARA NUSSERWANJI KADVA</t>
  </si>
  <si>
    <t>NUSSERWANJI BURJORSI KADUVAJOURNALIST</t>
  </si>
  <si>
    <t>DCM Shriram Limited</t>
  </si>
  <si>
    <t>DARA NUSSERWANJI MARSHALL</t>
  </si>
  <si>
    <t>HUL</t>
  </si>
  <si>
    <t>Vedanta Ltd</t>
  </si>
  <si>
    <t>DHUNJISHA NUSSERWANJI BHARUCHA</t>
  </si>
  <si>
    <t>Bharat Forge Limited</t>
  </si>
  <si>
    <t>DHUNJISHAW NUSSERWANJI KARAKA</t>
  </si>
  <si>
    <t>GUSTAD NUSSERWANJI LAKDAWALLA</t>
  </si>
  <si>
    <t>NUSSERWANJI JIVAJI L</t>
  </si>
  <si>
    <t>PFIZER LTD.</t>
  </si>
  <si>
    <t>HOMI NUSSERWANJI DASTOOR</t>
  </si>
  <si>
    <t>CHAMBAL FERTILISERS &amp; CHEMICALS LTD.</t>
  </si>
  <si>
    <t>HORMUSJI NUSSERWANJI MADRASWALLA</t>
  </si>
  <si>
    <t>NUSSERWANJI SORABJI MADRASWALLA</t>
  </si>
  <si>
    <t>L&amp;T</t>
  </si>
  <si>
    <t>Ultratech Cement</t>
  </si>
  <si>
    <t>JAL NUSSERWANJI DRIVER</t>
  </si>
  <si>
    <t>MR NUSSERWANJI DINSHAWDRIVER</t>
  </si>
  <si>
    <t>MAHINDRA &amp; MAHINDRA LTD.</t>
  </si>
  <si>
    <t>JAMSHED NUSSERWANJI GUZDER</t>
  </si>
  <si>
    <t>NUSSERWANJI SORABJI GUZDER</t>
  </si>
  <si>
    <t>JAMSHEDJI NUSSERWANJI PATEL</t>
  </si>
  <si>
    <t>NUSSERWANJI ERACHSHAW PATEL</t>
  </si>
  <si>
    <t>Ceat Limited</t>
  </si>
  <si>
    <t>JEHANGIR NUSSERWANJI BHARUCHA ESQ</t>
  </si>
  <si>
    <t>JEHANGIRJI NUSSERWANJI LELINWALLA</t>
  </si>
  <si>
    <t>VOLTAS LTD.</t>
  </si>
  <si>
    <t>KAIKHUSHROO NUSSERWANJI PANDAY</t>
  </si>
  <si>
    <t>KAIKHUSHRU NUSSERWANJI TOORKEY</t>
  </si>
  <si>
    <t>N S TOORKEY</t>
  </si>
  <si>
    <t>KAIKOBAD NUSSERWANJI BILIMORIA</t>
  </si>
  <si>
    <t>MANECKBAI NUSSERWANJI LASKARY</t>
  </si>
  <si>
    <t>ACC LTD.</t>
  </si>
  <si>
    <t>MANECKJI NUSSERWANJI GAZDAR</t>
  </si>
  <si>
    <t>MEHRBANO NUSSERWANJI SEERVAI</t>
  </si>
  <si>
    <t>KANSAI NEROLAC PAINTS LTD.</t>
  </si>
  <si>
    <t>NUSSERWANJI DORABJI SEERVAI</t>
  </si>
  <si>
    <t>RALLIS INDIA LTD.</t>
  </si>
  <si>
    <t>BASF INDIA LTD.</t>
  </si>
  <si>
    <t>NOVARTIS INDIA LTD.</t>
  </si>
  <si>
    <t>MRF</t>
  </si>
  <si>
    <t>N D SEERVAI</t>
  </si>
  <si>
    <t>BOMBAY BURMAH TRADING CORP.LTD.</t>
  </si>
  <si>
    <t>MR NUSSERWANJI DORABJI SEERVAI</t>
  </si>
  <si>
    <t>GLAXOSMITHKLINE PHARMACEUTICALS LTD.</t>
  </si>
  <si>
    <t>NUSSERWANJI D SEERVAI</t>
  </si>
  <si>
    <t>GUJARAT NARMADA VALLEY FERTILIZERS &amp; CHEMICALS LTD.</t>
  </si>
  <si>
    <t>NAOROJI NUSSERWANJI MEHTA</t>
  </si>
  <si>
    <t>NARIMAN NUSSERWANJI TADIWALA</t>
  </si>
  <si>
    <t>NERGESH NUSSERWANJI GUZDER</t>
  </si>
  <si>
    <t>N SORABJI GUZDER</t>
  </si>
  <si>
    <t>EXIDE INDUSTRIES LTD.</t>
  </si>
  <si>
    <t>NOWROJI NUSSERWANJI MEHTA</t>
  </si>
  <si>
    <t>NOWROJI NUSSERWANJI MEHTAESQ</t>
  </si>
  <si>
    <t>PERVEZ NUSSERWANJI MEHTA</t>
  </si>
  <si>
    <t>NUSSERWANJI DARABSHA MEHTA</t>
  </si>
  <si>
    <t>I G PETROCHEMICALS LTD.</t>
  </si>
  <si>
    <t>RUSSI NUSSERWANJI KANGA</t>
  </si>
  <si>
    <t>RUSTOM NUSSERWANJI COOPERAC</t>
  </si>
  <si>
    <t>SERENEBAI NUSSERWANJI JAMSETJI DADY</t>
  </si>
  <si>
    <t>SHIAVUX NUSSERWANJI DALAL</t>
  </si>
  <si>
    <t>MR NUSSERWANJI</t>
  </si>
  <si>
    <t>SILLOO NUSSERWANJI POCHEE</t>
  </si>
  <si>
    <t>SORABJI NUSSERWANJI GINWALLA</t>
  </si>
  <si>
    <t>TAHMINA NUSSERWANJI HEERAMANECK</t>
  </si>
  <si>
    <t>TEHMIE NUSSERWANJI ILAVIA</t>
  </si>
  <si>
    <t>NUSSERWANJI RUSTOMJI</t>
  </si>
  <si>
    <t>GOODYEAR INDIA LTD.</t>
  </si>
  <si>
    <t>TEHMINA NUSSERWANJIHEERAMANECK</t>
  </si>
  <si>
    <t>ZARIR NUSSERWANJI</t>
  </si>
  <si>
    <t>ZARIR NUSSERWANJI GHEEWALA</t>
  </si>
  <si>
    <t>NUSSERWANJI BARJORJI PATELL</t>
  </si>
  <si>
    <t>NUSSERWANJI HORMUSJI DADYBURJOR</t>
  </si>
  <si>
    <t>HORMUSJI P DADYBURJOR</t>
  </si>
  <si>
    <t>TORRENT POWER LTD.</t>
  </si>
  <si>
    <t>CAWAS MERWANJI CAWASJIMODY</t>
  </si>
  <si>
    <t>SHEHRA FRAMROZE CAWASJIBULSARA</t>
  </si>
  <si>
    <t>FRAMROZE</t>
  </si>
  <si>
    <t>TEHMINA K CAWASJI</t>
  </si>
  <si>
    <t>MR KALI DCAWASJI</t>
  </si>
  <si>
    <t>ARDESHIR CAWASJI MISTRI</t>
  </si>
  <si>
    <t>MISTRI</t>
  </si>
  <si>
    <t>ITC</t>
  </si>
  <si>
    <t>BAPAI CAWASJI KATRAK</t>
  </si>
  <si>
    <t>BOMANJI CAWASJI ESQ</t>
  </si>
  <si>
    <t>BURJORJI CAWASJI KARKARIA</t>
  </si>
  <si>
    <t>DHUNBAI CAWASJI KARANI</t>
  </si>
  <si>
    <t>DOLI CAWASJI BHESANIA</t>
  </si>
  <si>
    <t>DOLLY CAWASJI SETHNA</t>
  </si>
  <si>
    <t>DOSSABHOY CAWASJI SHROFF</t>
  </si>
  <si>
    <t>CAWASJI SHROFF</t>
  </si>
  <si>
    <t>FIROZ CAWASJI MISTRY</t>
  </si>
  <si>
    <t>MISTRY</t>
  </si>
  <si>
    <t>FRAMROZ CAWASJI SIDHWA</t>
  </si>
  <si>
    <t>CAWASJI FAKIRJI</t>
  </si>
  <si>
    <t>GREAVES COTTON LTD.</t>
  </si>
  <si>
    <t>HOMAI CAWASJI SIDHWA</t>
  </si>
  <si>
    <t>CAWASJI SIDHWA</t>
  </si>
  <si>
    <t>HDFC Bank</t>
  </si>
  <si>
    <t>TRENT LTD.</t>
  </si>
  <si>
    <t>KAIKHUSRU CAWASJI APPOO ESQ</t>
  </si>
  <si>
    <t>KAIKHUSRU CAWASJI APPOOESQ</t>
  </si>
  <si>
    <t>KEI CAWASJI SACHINWALLA</t>
  </si>
  <si>
    <t>CAWASJI N SACHINWALLA</t>
  </si>
  <si>
    <t>IDBI BANK LTD.</t>
  </si>
  <si>
    <t>MANI CAWASJI DOCTOR</t>
  </si>
  <si>
    <t>CAWASJI M DOCTOR</t>
  </si>
  <si>
    <t>NADIR CAWASJI SETHNA</t>
  </si>
  <si>
    <t>SO CAWASJI BEJONJISETHNA</t>
  </si>
  <si>
    <t>SCHNEIDER ELECTRIC INFRASTRUCTURE LTD.</t>
  </si>
  <si>
    <t>CAWASJI BEJONJI SETHNA</t>
  </si>
  <si>
    <t>NADIRSHAW CAWASJI BADSHAW</t>
  </si>
  <si>
    <t>NAJA CAWASJI SIDHWA</t>
  </si>
  <si>
    <t>KEC INTERNATIONAL LTD.</t>
  </si>
  <si>
    <t>P CAWASJI</t>
  </si>
  <si>
    <t>PIROJA CAWASJI BHARUCHA</t>
  </si>
  <si>
    <t>CAWASJI DHUNJIBHAI</t>
  </si>
  <si>
    <t>RATAN CAWASJI BATLIWALA</t>
  </si>
  <si>
    <t>RATAN CAWASJI BHESANIA</t>
  </si>
  <si>
    <t>Rusi Cawasji Bharucha</t>
  </si>
  <si>
    <t>Cawasji Bharucha</t>
  </si>
  <si>
    <t>Bombay Oxygen Investments Ltd</t>
  </si>
  <si>
    <t>RUSI CAWASJI BHARUCHA</t>
  </si>
  <si>
    <t>CAWASJI CURSETJI BHARUCHA</t>
  </si>
  <si>
    <t>RUSTOMFRAMROZE CAWASJI BULSARA</t>
  </si>
  <si>
    <t>SOONOO CAWASJI BADSHAW</t>
  </si>
  <si>
    <t>SORABJI CAWASJI PANTHAKI</t>
  </si>
  <si>
    <t>Piramal Enterprises</t>
  </si>
  <si>
    <t>CAWASJI PANTHAKI</t>
  </si>
  <si>
    <t>ASHOK LEYLAND LTD.</t>
  </si>
  <si>
    <t>CAWASJI HORMUSJI GHADIALY</t>
  </si>
  <si>
    <t>CAWASJI P TODDYWALLA</t>
  </si>
  <si>
    <t>PHIROZSHAW J TODDYWALLA</t>
  </si>
  <si>
    <t>CAWASJI SHAPURJI GUZDAR</t>
  </si>
  <si>
    <t>PHIL0000000000P00133</t>
  </si>
  <si>
    <t>Full Name</t>
  </si>
  <si>
    <t>Father's/Husband's Name</t>
  </si>
  <si>
    <t>City</t>
  </si>
  <si>
    <t>Value </t>
  </si>
  <si>
    <t>MANI MOUNT ( X X X X X X X X NT ROAD, BOM</t>
  </si>
  <si>
    <t>MAHARASHTRA</t>
  </si>
  <si>
    <t>SHEHRA CAWASJI PATUCK</t>
  </si>
  <si>
    <t>MANI MOUNT X X X X X X X X D, BOMBAY</t>
  </si>
  <si>
    <t>SARAH CAWASJI PATUCK</t>
  </si>
  <si>
    <t>PATUCK NUSSERWANJI</t>
  </si>
  <si>
    <t>MANI MOUNT, X X X X X X X X BOMBAY 26</t>
  </si>
  <si>
    <t>C/O MISS SOONI CAWAS X X X X X X X X R), ALTAMOUNT ROAD,</t>
  </si>
  <si>
    <t>CO MS PATRIC X X X X X X X X D N ROAD BOM</t>
  </si>
  <si>
    <t>NA 0 0</t>
  </si>
  <si>
    <t>MANI MOUNT,ALTA X X X X X X X X MUMBAI MAHARAS</t>
  </si>
  <si>
    <t>MUMBAI</t>
  </si>
  <si>
    <t>MANI MOUNT G X X X X X X X X BOMBAY 40002</t>
  </si>
  <si>
    <t>29,DONGERSEY X X X X X X X X , BOMBAY MU</t>
  </si>
  <si>
    <t>ISMAIL BUILDI X X X X X X X X T,, BOMBAY MU</t>
  </si>
  <si>
    <t>29 DONGER X X X X X X X X HILL BOMB</t>
  </si>
  <si>
    <t>BEAU LIEU X X X X X X X X BOMBAY 4OO</t>
  </si>
  <si>
    <t>MANI MOUN X X X X X X X X ROAD BOMB</t>
  </si>
  <si>
    <t>CAWASJI NASSERWANJI PATUCK</t>
  </si>
  <si>
    <t>MANI MOUNT X X X X X X X X ROAD, BOMB</t>
  </si>
  <si>
    <t>Mumbai City</t>
  </si>
  <si>
    <t>+4</t>
  </si>
  <si>
    <t>MCA</t>
  </si>
  <si>
    <t>NF</t>
  </si>
  <si>
    <t>C1011881 CAWASJI NUSSERWANJI PATUCK C/O MISS SOONI CAWASJI PATUCK ALTAMOUNT ROAD, BOMBAY. 400026 1 12800 2</t>
  </si>
  <si>
    <t>Tata Motors</t>
  </si>
  <si>
    <t>S1C0008485 CAWASJI NUSSERWANJI PATUCK C/O MISS SOONI CAWASJI PATUCK BOMBAY 400026 1 3066 10</t>
  </si>
  <si>
    <t>C1C0001226 CAWASJI NUSSERWANJI PATUCK ESQ NUSSERWANJI C PATUCK MANI MOUNT GR FLOOR 400026 MAHARASHTRA 400026 1 11188 10</t>
  </si>
  <si>
    <t>C1C0023382 CAWASJI NUSSERWANJI PATUCK MANI MOUNT GR FLR 26 ALTAMOUNT MAHARASHTRA 400026 1 1680 10</t>
  </si>
  <si>
    <t xml:space="preserve">Data </t>
  </si>
  <si>
    <t>Yes</t>
  </si>
  <si>
    <t>Google</t>
  </si>
  <si>
    <t>SKF</t>
  </si>
  <si>
    <t>Khaitan Chemicals &amp; Fertilisers</t>
  </si>
  <si>
    <t>DEL0001765 SHEHRA CAWASJI PATUCK MANI MOUNT,ALTAMOUNT ROAD, CUMBALLA HILL, MUMBAI MAHARASHTRA. 4000261 930 2</t>
  </si>
  <si>
    <t xml:space="preserve">DALMIA BHARAT </t>
  </si>
  <si>
    <t>DEL0001770 SARAH PATUCK MANI MOUNT, ALTAMOUNT ROAD CUMBALLA HILL MUMBAI MAHARASHTRA 4000261 905 2</t>
  </si>
  <si>
    <t>1986206 SOONI CAWASJI PATUCK MANI MOUNT BOMBAY MAHARASHTRA 400026 1 1020 1.00</t>
  </si>
  <si>
    <t>HLL</t>
  </si>
  <si>
    <t>SHEHRA</t>
  </si>
  <si>
    <t xml:space="preserve">DEL0001765      </t>
  </si>
  <si>
    <t>Equity share</t>
  </si>
  <si>
    <t>SARAH</t>
  </si>
  <si>
    <t xml:space="preserve">DEL0001770      </t>
  </si>
  <si>
    <t>DCB010482 SHEHRA CAWASJI PATUCK NULL MANI MOUNT,ALTAMOUNT ROAD, CUMBALLA HILL, MUMBAI MAHARASHTRA. 4000261 930 2</t>
  </si>
  <si>
    <t>DALMIA SUGAR</t>
  </si>
  <si>
    <t>DCB019092 SARAH PATUCK NULL MANI MOUNT, ALTAMOUNT ROAD CUMBALLA HILL MUMBAI MAHARASHTRA 4000261 905 2</t>
  </si>
  <si>
    <t>S0004155 SOONI CAWASJI PATUCK MANI MOUNT BOMBAY 26 400026 1 3000 1</t>
  </si>
  <si>
    <t>TATA POWER</t>
  </si>
  <si>
    <t>S0079396 SOONI CAWASJI PATUCK MANI MOUNT BOMBAY 26 400026 1 1440 1</t>
  </si>
  <si>
    <t>S0004155SOONI CAWASJI PATUCK CAWASJI MANI MOUNT 26 ALTAMOUNT ROAD BOMBAY 26 40002610000000300000010</t>
  </si>
  <si>
    <t>S0079396SOONI CAWASJI PATUCK MANI MOUNT 26 ALTAMOUNT ROAD BOMBAY 26 40002610000000144000010</t>
  </si>
  <si>
    <t>TATA MOTORS</t>
  </si>
  <si>
    <t>R1019661 ROBERTE CAWASJI PATUCK CAWASJI NUSSERWANJI PATUCK BOMBAY 4OOOO6 400006 1 2320 2</t>
  </si>
  <si>
    <t>R1019662 ROBERTE CAWASJI PATUCK CAWASJI NUSSERWANJI PATUCK BOMBAY 4OOOO6 400006 1 560 2</t>
  </si>
  <si>
    <t>S1029371 SOONI CAWASJI PATUCK MANI MOUNT (GROUND FLOOR) BOMBAY 400026 1 2480 2</t>
  </si>
  <si>
    <t>S1119071 SOONI CAWASJI PATUCK MANI MOUNT GROUND FLOOR BOMBAY 400026 1 1520 2</t>
  </si>
  <si>
    <t>S3176871 SOONI CAWASJI PATUCK MANI MOUNT BOMBAY 400026 1 4080 2</t>
  </si>
  <si>
    <t>TATA STEEL</t>
  </si>
  <si>
    <t>S1S0022264 SHEHRA PATUCK MANI MOUNT 400026 1 169 10</t>
  </si>
  <si>
    <t>S1S0023311 SARAH CAWASJI PATUCK PATUCK CAWASJI NUSSERWANMJIANI MOUNT 400026 1 168 10</t>
  </si>
  <si>
    <t>S1S0024910 SARAH PATUCK PATUCK CAWASJI MANI MOUNT BOMBAY 400026 1 507 10</t>
  </si>
  <si>
    <t>S1S0025888 SHEHRA CAWASJI PATUCK MANI MOUNT 400006 1 168 10</t>
  </si>
  <si>
    <t>S1S0036533 SOONI CAVASJI PATUCK CAVASJI MARIE MOUNT 400026 1 13068 10</t>
  </si>
  <si>
    <t>S1S0038256 SOONI CAWASJI PATUCK PATUCK CAWASJI MANI MOUNT 26 ALTAMOUNT ROAD 400026 1 1563 10</t>
  </si>
  <si>
    <t>S1S0194355 SOONI C PATUCK C PATUCK MANI MOUNT GR FLOOR 400026 1 312 10</t>
  </si>
  <si>
    <t>TATA CHEM</t>
  </si>
  <si>
    <t>C1S0024074 SOONI CAWASJI PATUCK CAWASJI MANI MOUNT BOMBAY MAHARASHTRA 400026 1 4835 10</t>
  </si>
  <si>
    <t>C1S0118162 SOONI CAWASJI PATUCK CAWASJI KARAN MOHAN DEWAN MANI MOUNT MAHARASHTRA 400026 1 66 10</t>
  </si>
  <si>
    <t>'B000550 PATUCK MISS SOONI CA MANI MOUNT ALTAMONT ROAD,CUMBALLA HILL,BOMBAY 400006 '400006 1 1600 '000005</t>
  </si>
  <si>
    <t>Eveready Industries</t>
  </si>
  <si>
    <t>0016509 SOONI C PATUCK. 1 0000006486 000010 MANI MOUNT,ALTAMOUNT RD., MUMBAI 400026</t>
  </si>
  <si>
    <t>Torrent Power</t>
  </si>
  <si>
    <t>KFC0050875</t>
  </si>
  <si>
    <t>MITANI SOONITA HARIKRISHNA</t>
  </si>
  <si>
    <t>HARIKRISHNA</t>
  </si>
  <si>
    <t>TATA ELXSI LTD.</t>
  </si>
  <si>
    <t>SOONI J BATLIWALLA</t>
  </si>
  <si>
    <t>SH J D BATLIWALLA H</t>
  </si>
  <si>
    <t>SOONI JAL TARAPOREVALA</t>
  </si>
  <si>
    <t>GODFREY PHILLIPS INDIA LTD.</t>
  </si>
  <si>
    <t>SOONIE D MOOS</t>
  </si>
  <si>
    <t>DOSABHOY MOOS</t>
  </si>
  <si>
    <t>SOONIE DOSSABOY MOOS</t>
  </si>
  <si>
    <t>DOSSABOY</t>
  </si>
  <si>
    <t>SOONIE R COYAJEE</t>
  </si>
  <si>
    <t>SOONIE RATAN COYAJEE</t>
  </si>
  <si>
    <t>Navin Fluorine International Limited</t>
  </si>
  <si>
    <t>GRAPHITE INDIA LTD.</t>
  </si>
  <si>
    <t>RATAN MINOO COYAJEE</t>
  </si>
  <si>
    <t>Linde India Limited</t>
  </si>
  <si>
    <t>Loading...</t>
  </si>
  <si>
    <t>S1S0038256</t>
  </si>
  <si>
    <t>JEROO</t>
  </si>
  <si>
    <t>INDER</t>
  </si>
  <si>
    <t>DEWAN</t>
  </si>
  <si>
    <t/>
  </si>
  <si>
    <t>C/O MISS SOONI C PATUCK MANI MOUNT 26 ALTAMOUNT ROAD BOMBAY</t>
  </si>
  <si>
    <t>400026</t>
  </si>
  <si>
    <t>PHLL1041810</t>
  </si>
  <si>
    <t>Amount for unclaimed and unpaid dividend</t>
  </si>
  <si>
    <t>23-Nov-2016</t>
  </si>
  <si>
    <t xml:space="preserve">C/O MISS SOONI CAWASJI PATUCK MANI MOUNT(GROUND FLOOR) ALTAMOUNT ROAD, BOMBAY. </t>
  </si>
  <si>
    <t>E2C1011881</t>
  </si>
  <si>
    <t>Dnt</t>
  </si>
  <si>
    <t>No</t>
  </si>
  <si>
    <t>12t19</t>
  </si>
  <si>
    <t xml:space="preserve">C/O MISS SOONI CAWASJI PATUCK MANI MOUNT (GROUND FLOOR) ALTAMOUNT ROAD BOMBAY </t>
  </si>
  <si>
    <t>S1C0008485</t>
  </si>
  <si>
    <t>11t12, 14t16</t>
  </si>
  <si>
    <t>20 shrs list</t>
  </si>
  <si>
    <t>Tata Steel Ltd</t>
  </si>
  <si>
    <t xml:space="preserve">MANI MOUNT GR FLR  26 ALTAMOUNT          BOMBAY  400026 </t>
  </si>
  <si>
    <t>C1C0023382</t>
  </si>
  <si>
    <t>14t17</t>
  </si>
  <si>
    <t>CAWASJI NUSSERWANJI PATUCK ESQ</t>
  </si>
  <si>
    <t>C1C0001226</t>
  </si>
  <si>
    <t>Tata Chemicals Ltd</t>
  </si>
  <si>
    <t>NUSSERWANJI C PATUCK</t>
  </si>
  <si>
    <t>MANI MOUNT GR FLOOR 400026</t>
  </si>
  <si>
    <t>NUSSERWANJI CAWASJI PATUCK</t>
  </si>
  <si>
    <t>MANI MOUNT GROUND FLOOR 26 ALTAMOUNT ROAD BOMBAY 400026</t>
  </si>
  <si>
    <t>21 shrs list</t>
  </si>
  <si>
    <t>CAWASJI NUSSERWANJ PATUCK</t>
  </si>
  <si>
    <t>PCBL Ltd</t>
  </si>
  <si>
    <t xml:space="preserve">P00133 </t>
  </si>
  <si>
    <t>C/O NANI MOUNT GROUND FLOOR,26 ALATMOUNT ROAD BOMBAY</t>
  </si>
  <si>
    <r>
      <t xml:space="preserve">SHRI </t>
    </r>
    <r>
      <rPr>
        <sz val="11"/>
        <color rgb="FFFF0000"/>
        <rFont val="Calibri"/>
        <family val="2"/>
        <scheme val="minor"/>
      </rPr>
      <t>CHOWASJI</t>
    </r>
    <r>
      <rPr>
        <sz val="11"/>
        <color theme="1"/>
        <rFont val="Calibri"/>
        <family val="2"/>
        <scheme val="minor"/>
      </rPr>
      <t xml:space="preserve"> NUSSERWANJI PATUCK</t>
    </r>
  </si>
  <si>
    <t>TFC0047615</t>
  </si>
  <si>
    <t>TFC0047616</t>
  </si>
  <si>
    <t>TATA Consumer Products Ltd</t>
  </si>
  <si>
    <t>ISMAIL BUILDING, HORNBY ROAD, FORT, BOMBAY INDIA MAHARASHTRA MUMBAI 400001</t>
  </si>
  <si>
    <t>MANI MOUNT GR FLOOR ALTAMOUNT ROAD BOMBAY</t>
  </si>
  <si>
    <t>Investment Type</t>
  </si>
  <si>
    <t>Amount Due</t>
  </si>
  <si>
    <t>Proposed Date Of Transfer To IEPF</t>
  </si>
  <si>
    <t>CENTURY ENKA LIMITED</t>
  </si>
  <si>
    <t>Actual Date Of Transfer To IEPF</t>
  </si>
  <si>
    <t>PHILLIPS CARBON BLACK LTD</t>
  </si>
  <si>
    <t>AMOUNT FOR UNCLAIMED AND UNPAID DIVIDEND</t>
  </si>
  <si>
    <t>PCBL LIMITED</t>
  </si>
  <si>
    <t>VOLTAS LIMITED</t>
  </si>
  <si>
    <t>Dividend on shares transferred to IEPF</t>
  </si>
  <si>
    <t>TATA CHEMICALS LIMITED</t>
  </si>
  <si>
    <t>Number of Shares</t>
  </si>
  <si>
    <t>Nominal Value</t>
  </si>
  <si>
    <t>TATA STEEL LIMITED</t>
  </si>
  <si>
    <t>TATA MOTORS LIMITED</t>
  </si>
  <si>
    <t>1041810 JEROO INDER DEWAN C/O MISS SOONI C PATUCK BOMBAY MAHARASHTRA 400026 1 120 1.00</t>
  </si>
  <si>
    <t>S1S0194356 SOONI C PATUCK C PATUCK MANI MOUNT GR FLR 400026 1 180 10</t>
  </si>
  <si>
    <t>Voltas</t>
  </si>
  <si>
    <t>X0004020 CAWASJI NUSSERWANJI PATUCK CO MS PATRICK SONS ISMAIL BLDG 400001 1 10650 1</t>
  </si>
  <si>
    <t>Jeevanthika</t>
  </si>
  <si>
    <t>Unit</t>
  </si>
  <si>
    <t xml:space="preserve">SOONI CAWASJI PATUCK </t>
  </si>
  <si>
    <t>MANI MOUNT 26 ALTAMOUNT ROAD BOMBAY 26 400026</t>
  </si>
  <si>
    <t>The Tata Power Company Ltd</t>
  </si>
  <si>
    <t>H5S0004155</t>
  </si>
  <si>
    <t>H5S0079396</t>
  </si>
  <si>
    <t>SOONI</t>
  </si>
  <si>
    <t>Hindustan Unilever Ltd</t>
  </si>
  <si>
    <t xml:space="preserve">MANI MOUNT BOMBAY MAHARASHTRA 400026 </t>
  </si>
  <si>
    <t>HLL1986206</t>
  </si>
  <si>
    <t>18 shrs list</t>
  </si>
  <si>
    <t xml:space="preserve">MANI MOUNT (GROUND FLOOR) ALTAMOUNT ROAD, BOMBAY </t>
  </si>
  <si>
    <t>Amount for unclaimed and unpaid Dividend</t>
  </si>
  <si>
    <t>Tata Motors Ltd</t>
  </si>
  <si>
    <t>E2S1029371</t>
  </si>
  <si>
    <t>I</t>
  </si>
  <si>
    <t>DIWAN</t>
  </si>
  <si>
    <t xml:space="preserve">8OO9 S E 58TH STREET MESCAR ISLAND WASHINGTON U S A </t>
  </si>
  <si>
    <t>UNITED STATES OF AMERICA</t>
  </si>
  <si>
    <t>E2S1119071</t>
  </si>
  <si>
    <t>E2S3176871</t>
  </si>
  <si>
    <t>17 shrs list</t>
  </si>
  <si>
    <t>MOUNT GROUND FLOOR BOMBAY 400026</t>
  </si>
  <si>
    <t>MANI MOUNT BOMBAY 400026</t>
  </si>
  <si>
    <t>705</t>
  </si>
  <si>
    <t xml:space="preserve">MANI MOUNT 26 ALTAMOUNT ROAD BOMBAY </t>
  </si>
  <si>
    <t>SOONI C PATUCK</t>
  </si>
  <si>
    <t>S1S0194355</t>
  </si>
  <si>
    <t>S1S0194356</t>
  </si>
  <si>
    <t>SOONI CAVASJI PATUCK</t>
  </si>
  <si>
    <t>S1S0036533</t>
  </si>
  <si>
    <t xml:space="preserve">CAVASJI </t>
  </si>
  <si>
    <t>MARIE MOUNT 400026</t>
  </si>
  <si>
    <t xml:space="preserve">C PATUCK </t>
  </si>
  <si>
    <t xml:space="preserve">MANI MOUNT GR FLR 400026 </t>
  </si>
  <si>
    <t xml:space="preserve">SOONI CAVASJI PATUCK </t>
  </si>
  <si>
    <t>16 shrs list</t>
  </si>
  <si>
    <t>JEROO INDER DEWAN</t>
  </si>
  <si>
    <t>MANI MOUNT, X X X X X X X X LLA HILL, BO</t>
  </si>
  <si>
    <t>C1S0024074</t>
  </si>
  <si>
    <t>C1S0118162</t>
  </si>
  <si>
    <t>KARAN MOHAN DEWAN</t>
  </si>
  <si>
    <t>MANI MOUNT BOMBAY MAHARASHTRA 400026</t>
  </si>
  <si>
    <t>MANI MOUNT MAHARASHTRA 400026</t>
  </si>
  <si>
    <t>MISS SOONI CAWASJI PATUCK</t>
  </si>
  <si>
    <t>Eveready Industries India Ltd</t>
  </si>
  <si>
    <t>B000550</t>
  </si>
  <si>
    <t>MANI MOUNT ALTAMONT ROAD 'CUMBALLA HILL 'BOMBAY 400006</t>
  </si>
  <si>
    <t xml:space="preserve">SOONI C PATUCK </t>
  </si>
  <si>
    <t>Torrent Power Ltd</t>
  </si>
  <si>
    <t>MANI MOUNT,ALTAMOUNT RD., MUMBAI 400026</t>
  </si>
  <si>
    <t>SKF INDIA LIMITED</t>
  </si>
  <si>
    <t>Prev / Next</t>
  </si>
  <si>
    <t>TAYO ROLLS LIMITED</t>
  </si>
  <si>
    <t>S.No</t>
  </si>
  <si>
    <t>Investor Name</t>
  </si>
  <si>
    <t>MANI MOUNT,ALTAMOUNT RD., MUMBAI</t>
  </si>
  <si>
    <t>TORRENT POWER LIMITED</t>
  </si>
  <si>
    <t>STATE BANK OF INDIA</t>
  </si>
  <si>
    <t>HINDUSTAN UNILEVER LIMITED</t>
  </si>
  <si>
    <t>RELIANCE INFRASTRUCTURE LIMITED</t>
  </si>
  <si>
    <t>SHEHRA PATUCK</t>
  </si>
  <si>
    <t>MANI MOUNT ALTAMOUNT ROAD BOMBAY 26</t>
  </si>
  <si>
    <t>DALMIA BHARAT SUGAR AND INDUSTRIES LIMITED</t>
  </si>
  <si>
    <r>
      <t>[1-1]</t>
    </r>
    <r>
      <rPr>
        <b/>
        <sz val="9"/>
        <color theme="1"/>
        <rFont val="Arial"/>
        <family val="2"/>
      </rPr>
      <t>Amount Transfered to IEPF</t>
    </r>
  </si>
  <si>
    <t>DALMIA BHARAT LIMITED</t>
  </si>
  <si>
    <t>DALMIA BHARAT ENTERPRISES LIMITED</t>
  </si>
  <si>
    <t>THE INDIAN HUME PIPE COMPANY LIMITED</t>
  </si>
  <si>
    <t>Redemption amount of preference shares</t>
  </si>
  <si>
    <t>SARAH PATUCK</t>
  </si>
  <si>
    <t>Patuck Campus, 100, Nehru Road, Rustomba Patuck Marg, Vakola Bridge, Santacruz East, Mumbai</t>
  </si>
  <si>
    <t>29,DONGERSEY ROAD, MALABAR HILL</t>
  </si>
  <si>
    <t>THE TATA POWER COMPANY LIMITED</t>
  </si>
  <si>
    <t>CENTURY TEXTILE AND INDUSTRIES LIMITED</t>
  </si>
  <si>
    <t>CENTURY TEXTILES AND INDUSTRIES LIMITED</t>
  </si>
  <si>
    <t>Number of underlying shares</t>
  </si>
  <si>
    <t>EVEREADY INDUSTRIES INDIA LTD</t>
  </si>
  <si>
    <t>J0001993 JEROO INDER DEWAN MANI MOUNT BOMBAY 26 400026 1 1800 1</t>
  </si>
  <si>
    <t>J0077010 JEROO INDER DEWAN MANI MOUNT BOMBAY 400026 1 880 1</t>
  </si>
  <si>
    <t>J1013721 JEROO I DIWAN INDER DIWAN WASHINGTON U S A 0 1 900 2</t>
  </si>
  <si>
    <t>J1044791 JEROO INDER DEWAN MANI MOUNT BOMBAY 400026 400026 1 120 2</t>
  </si>
  <si>
    <t>J5044801 JEROO INDER DEWAN INDER DEWAN C/O BANK OF INDIA 10/80 MAHATMA GANDHI ROAD BOMBAY 400023 1 1530 2</t>
  </si>
  <si>
    <t>S1J0018699 JEROO INDER DEWAN DEWAN INDER MANI MOUNT BOMBAY 400026 1 3930 10</t>
  </si>
  <si>
    <t>0015721 JEROO INDER DEWAN INDER 1 0000006486 000010 MANI MOUNT, 26,ALTAMOUNT ROAD, MUMBAI 400026</t>
  </si>
  <si>
    <t>MRS  JEROO INDER DEWAN</t>
  </si>
  <si>
    <t>'MANI MOUNT</t>
  </si>
  <si>
    <t>'CUMBALLA HILL</t>
  </si>
  <si>
    <t>'BOMBAY 400026 ;</t>
  </si>
  <si>
    <t xml:space="preserve">SARAH PATUCK Patuck Campus, 100, Nehru Road, Rustomba Patuck Marg, Vakola Bridge, Santacruz East, Mumbai INDIA MAHARASHTRA 400055 HP04728 2000.00 24-Oct-2016 </t>
  </si>
  <si>
    <t>SARAH PATUCK Patuck Campus, 100, Nehru Road, Rustomba Patuck Marg, Vakola Bridge, Santacruz East, Mumbai INDIA MAHARASHTRA 400055 HP04729 2000.00 24-Oct-2016</t>
  </si>
  <si>
    <t>The Indian Hume Pipe</t>
  </si>
  <si>
    <t>MISS SOONICAWASJI PATUCK NA MANI MOUNT ALTAMONT ROAD, CINDIA MAHARASHTRA 400006 S02372 Amount for unclaimed and unpaid dividend 6400.00 06‐SEP‐2017</t>
  </si>
  <si>
    <t>Mcleod Russel</t>
  </si>
  <si>
    <t>MANI MOUNT,ALTAMOUNT ROAD, CUMBALLA HILL, MUMBAI MAHARASHTRA.</t>
  </si>
  <si>
    <t>Dalmia Bharat Ltd</t>
  </si>
  <si>
    <t>MANI MOUNT, ALTAMOUNT ROAD CUMBALLA HILL MUMBAI MAHARASHTRA</t>
  </si>
  <si>
    <t>NULL</t>
  </si>
  <si>
    <t xml:space="preserve">DBL0226126      </t>
  </si>
  <si>
    <t xml:space="preserve">DBL0226131      </t>
  </si>
  <si>
    <t>DCB010482</t>
  </si>
  <si>
    <t>DCB019092</t>
  </si>
  <si>
    <t>Dalmia Bharat Sugar and Industries Ltd</t>
  </si>
  <si>
    <t>HLL1041810</t>
  </si>
  <si>
    <t>E2J1013721</t>
  </si>
  <si>
    <t xml:space="preserve">MANI MOUNT 26 ALTAMOUNT ROAD BOMBAY 26 </t>
  </si>
  <si>
    <t>H5J0001993</t>
  </si>
  <si>
    <t>H5J0077010</t>
  </si>
  <si>
    <t>IN30074910319939</t>
  </si>
  <si>
    <t>E2J1044791</t>
  </si>
  <si>
    <t>E2J5044801</t>
  </si>
  <si>
    <t>IN30074910319762</t>
  </si>
  <si>
    <t>MANI MOUNT BOMBAY 400026 400026</t>
  </si>
  <si>
    <t>INDER DEWAN</t>
  </si>
  <si>
    <t>C/O BANK OF INDIA 10/80 MAHATMA GANDHI ROAD BOMBAY 400023</t>
  </si>
  <si>
    <t xml:space="preserve">MANI MOUNT ALTMOUNT ROAD CUMBALLA HILL BOMBAY </t>
  </si>
  <si>
    <t>S1J0018699</t>
  </si>
  <si>
    <t>B000529</t>
  </si>
  <si>
    <t>MANI MOUNT, 26,ALTAMOUNT ROAD, MUMBAI 400026</t>
  </si>
  <si>
    <t>S1S0022264</t>
  </si>
  <si>
    <t>S1S0025888</t>
  </si>
  <si>
    <t>00160967</t>
  </si>
  <si>
    <t>MANI MOUNT GR FLOOR
ALTAMOUNT ROAD
BOMBAY
MUMBAI
400026</t>
  </si>
  <si>
    <t>Century Enka Ltd</t>
  </si>
  <si>
    <t>Search</t>
  </si>
  <si>
    <t>00160968</t>
  </si>
  <si>
    <t>MANI MOUNT GR MUMBAI
FLOORALTAMOUNT
ROADBOMBAY
ALTAMOUNT ROAD
BOMBAY
MUMBAI
400026</t>
  </si>
  <si>
    <t>MANI MOUNT ALTAMOUNT ROAD BOMBAY 400026</t>
  </si>
  <si>
    <t>000463209</t>
  </si>
  <si>
    <t>Reliance Infrastructure Ltd</t>
  </si>
  <si>
    <t>Indian Hume Pipe Company Ltd</t>
  </si>
  <si>
    <t>Patuck Campus, 100, Nehru Road, Rustomba Patuck Marg, Vakola Bridge, Santacruz East, Mumbai INDIA MAHARASHTRA 400055</t>
  </si>
  <si>
    <t>HP04728</t>
  </si>
  <si>
    <t>HP04729</t>
  </si>
  <si>
    <t>0JE00092</t>
  </si>
  <si>
    <t>MANI MOUNT(GROUND FLOOR)26,ALTAMOUNT ROA MUMBAI MAHARASHTRA 400026</t>
  </si>
  <si>
    <t>Century Textiles and Industries Ltd</t>
  </si>
  <si>
    <t>MUMBAI NRI BRANCHMITTAL TOWER,C WING,2ND MUMBAI MAHARASHTRA 400021</t>
  </si>
  <si>
    <t>Demat</t>
  </si>
  <si>
    <t>Not found</t>
  </si>
  <si>
    <t xml:space="preserve">MISS SOONICAWASJI PATUCK </t>
  </si>
  <si>
    <t xml:space="preserve">NA </t>
  </si>
  <si>
    <t xml:space="preserve">MANI MOUNT ALTAMONT ROAD, CINDIA MAHARASHTRA 400006 </t>
  </si>
  <si>
    <t>S02372</t>
  </si>
  <si>
    <t>Mcleod Russel (India) Ltd</t>
  </si>
  <si>
    <t>Final list not done</t>
  </si>
  <si>
    <t>TFS0051234</t>
  </si>
  <si>
    <t>TFS0051235</t>
  </si>
  <si>
    <t xml:space="preserve">SOONI CAWASJI PATUCK  </t>
  </si>
  <si>
    <t xml:space="preserve">MANI MOUNT 26 ALTAMOUNT ROAD BOMBAY 26 WB </t>
  </si>
  <si>
    <t>S1S0023311</t>
  </si>
  <si>
    <t>S1S0024910</t>
  </si>
  <si>
    <t xml:space="preserve">DBL0226126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</si>
</sst>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0.00;[Red]0.00"/>
    <numFmt numFmtId="165" formatCode="##,###,###,###,##0"/>
    <numFmt numFmtId="166" formatCode="###0"/>
    <numFmt numFmtId="167" formatCode="##,###,###,###,##0.00"/>
  </numFmts>
  <fonts count="29">
    <font>
      <sz val="11"/>
      <color theme="1"/>
      <name val="Calibri"/>
      <family val="2"/>
      <scheme val="minor"/>
    </font>
    <font>
      <sz val="11"/>
      <color theme="1"/>
      <name val="Calibri"/>
      <family val="2"/>
      <scheme val="minor"/>
    </font>
    <font>
      <sz val="11"/>
      <color indexed="8"/>
      <name val="Calibri"/>
      <family val="2"/>
    </font>
    <font>
      <b/>
      <sz val="11"/>
      <color indexed="8"/>
      <name val="Calibri"/>
      <family val="2"/>
    </font>
    <font>
      <b/>
      <sz val="11"/>
      <color indexed="10"/>
      <name val="Calibri"/>
      <family val="2"/>
    </font>
    <font>
      <sz val="11"/>
      <color theme="1"/>
      <name val="Calibri"/>
      <family val="2"/>
    </font>
    <font>
      <sz val="11"/>
      <color rgb="FF00B050"/>
      <name val="Calibri"/>
      <family val="2"/>
      <scheme val="minor"/>
    </font>
    <font>
      <sz val="11"/>
      <name val="Calibri"/>
      <family val="2"/>
      <scheme val="minor"/>
    </font>
    <font>
      <b/>
      <sz val="11"/>
      <color rgb="FF677897"/>
      <name val="Calibri"/>
      <family val="2"/>
      <scheme val="minor"/>
    </font>
    <font>
      <sz val="11"/>
      <color rgb="FF677897"/>
      <name val="Calibri"/>
      <family val="2"/>
      <scheme val="minor"/>
    </font>
    <font>
      <u/>
      <sz val="11"/>
      <color theme="10"/>
      <name val="Calibri"/>
      <family val="2"/>
      <scheme val="minor"/>
    </font>
    <font>
      <b/>
      <sz val="11"/>
      <color rgb="FFFFFFFF"/>
      <name val="Calibri"/>
      <family val="2"/>
      <scheme val="minor"/>
    </font>
    <font>
      <sz val="11"/>
      <color rgb="FF020202"/>
      <name val="Calibri"/>
      <family val="2"/>
      <scheme val="minor"/>
    </font>
    <font>
      <sz val="11"/>
      <color rgb="FFFF0000"/>
      <name val="Calibri"/>
      <family val="2"/>
      <scheme val="minor"/>
    </font>
    <font>
      <sz val="8"/>
      <color rgb="FF677897"/>
      <name val="Calibri"/>
      <family val="2"/>
      <scheme val="minor"/>
    </font>
    <font>
      <sz val="11"/>
      <color rgb="FF7030A0"/>
      <name val="Calibri"/>
      <family val="2"/>
      <scheme val="minor"/>
    </font>
    <font>
      <sz val="10"/>
      <color rgb="FFFF0000"/>
      <name val="Zurich BT"/>
      <family val="2"/>
    </font>
    <font>
      <b/>
      <sz val="11"/>
      <color theme="1"/>
      <name val="Calibri"/>
      <family val="2"/>
      <scheme val="minor"/>
    </font>
    <font>
      <sz val="9"/>
      <color theme="1"/>
      <name val="Arial"/>
      <family val="2"/>
    </font>
    <font>
      <b/>
      <sz val="8"/>
      <color theme="1"/>
      <name val="Arial"/>
      <family val="2"/>
    </font>
    <font>
      <sz val="8"/>
      <color theme="1"/>
      <name val="Arial"/>
      <family val="2"/>
    </font>
    <font>
      <sz val="10"/>
      <name val="Zurich BT"/>
      <family val="2"/>
    </font>
    <font>
      <sz val="11"/>
      <name val="Calibri"/>
      <family val="2"/>
    </font>
    <font>
      <b/>
      <sz val="9"/>
      <color theme="1"/>
      <name val="Arial"/>
      <family val="2"/>
    </font>
    <font>
      <sz val="10"/>
      <color rgb="FF7030A0"/>
      <name val="Zurich BT"/>
      <family val="2"/>
    </font>
    <font>
      <sz val="9"/>
      <color rgb="FFFF0000"/>
      <name val="Arial"/>
      <family val="2"/>
    </font>
    <font>
      <i/>
      <sz val="11"/>
      <color rgb="FFFF0000"/>
      <name val="Calibri"/>
      <family val="2"/>
      <scheme val="minor"/>
    </font>
    <font>
      <sz val="11"/>
      <color rgb="FF00B0F0"/>
      <name val="Calibri"/>
      <family val="2"/>
      <scheme val="minor"/>
    </font>
    <font>
      <sz val="11"/>
      <color rgb="FF00B0F0"/>
      <name val="Calibri"/>
      <family val="2"/>
    </font>
  </fonts>
  <fills count="9">
    <fill>
      <patternFill patternType="none"/>
    </fill>
    <fill>
      <patternFill patternType="gray125"/>
    </fill>
    <fill>
      <patternFill patternType="solid">
        <fgColor indexed="22"/>
        <bgColor indexed="31"/>
      </patternFill>
    </fill>
    <fill>
      <patternFill patternType="solid">
        <fgColor rgb="FFFFFFFF"/>
        <bgColor indexed="64"/>
      </patternFill>
    </fill>
    <fill>
      <patternFill patternType="solid">
        <fgColor rgb="FFF9F9F9"/>
        <bgColor indexed="64"/>
      </patternFill>
    </fill>
    <fill>
      <patternFill patternType="solid">
        <fgColor rgb="FF022169"/>
        <bgColor indexed="64"/>
      </patternFill>
    </fill>
    <fill>
      <patternFill patternType="solid">
        <fgColor rgb="FFFFFF00"/>
        <bgColor indexed="64"/>
      </patternFill>
    </fill>
    <fill>
      <patternFill patternType="solid">
        <fgColor rgb="FFFFFFE6"/>
        <bgColor indexed="64"/>
      </patternFill>
    </fill>
    <fill>
      <patternFill patternType="solid">
        <fgColor rgb="FFDFDFDF"/>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rgb="FFD2D6DE"/>
      </left>
      <right style="medium">
        <color rgb="FFD2D6DE"/>
      </right>
      <top style="medium">
        <color rgb="FFD2D6DE"/>
      </top>
      <bottom style="medium">
        <color rgb="FFD2D6DE"/>
      </bottom>
      <diagonal/>
    </border>
    <border>
      <left style="medium">
        <color rgb="FFD2D6DE"/>
      </left>
      <right style="medium">
        <color rgb="FFD2D6DE"/>
      </right>
      <top style="medium">
        <color rgb="FFD2D6DE"/>
      </top>
      <bottom style="thick">
        <color rgb="FFD2D6DE"/>
      </bottom>
      <diagonal/>
    </border>
    <border>
      <left style="medium">
        <color rgb="FFD2D6DE"/>
      </left>
      <right/>
      <top/>
      <bottom style="medium">
        <color rgb="FFD2D6DE"/>
      </bottom>
      <diagonal/>
    </border>
    <border>
      <left/>
      <right/>
      <top/>
      <bottom style="medium">
        <color rgb="FFD2D6DE"/>
      </bottom>
      <diagonal/>
    </border>
    <border>
      <left/>
      <right style="medium">
        <color rgb="FFD2D6DE"/>
      </right>
      <top/>
      <bottom style="medium">
        <color rgb="FFD2D6DE"/>
      </bottom>
      <diagonal/>
    </border>
    <border>
      <left style="medium">
        <color rgb="FF808080"/>
      </left>
      <right style="medium">
        <color rgb="FF808080"/>
      </right>
      <top style="medium">
        <color rgb="FF808080"/>
      </top>
      <bottom style="medium">
        <color rgb="FF808080"/>
      </bottom>
      <diagonal/>
    </border>
    <border>
      <left style="medium">
        <color rgb="FF808080"/>
      </left>
      <right/>
      <top/>
      <bottom/>
      <diagonal/>
    </border>
    <border>
      <left style="medium">
        <color rgb="FFD2D6DE"/>
      </left>
      <right/>
      <top style="medium">
        <color rgb="FFD2D6DE"/>
      </top>
      <bottom style="medium">
        <color rgb="FFD2D6DE"/>
      </bottom>
      <diagonal/>
    </border>
    <border>
      <left/>
      <right/>
      <top style="medium">
        <color rgb="FFD2D6DE"/>
      </top>
      <bottom style="medium">
        <color rgb="FFD2D6DE"/>
      </bottom>
      <diagonal/>
    </border>
    <border>
      <left/>
      <right style="medium">
        <color rgb="FFD2D6DE"/>
      </right>
      <top style="medium">
        <color rgb="FFD2D6DE"/>
      </top>
      <bottom style="medium">
        <color rgb="FFD2D6DE"/>
      </bottom>
      <diagonal/>
    </border>
    <border>
      <left style="medium">
        <color rgb="FFA4A4A4"/>
      </left>
      <right style="medium">
        <color rgb="FFA4A4A4"/>
      </right>
      <top style="medium">
        <color rgb="FFA4A4A4"/>
      </top>
      <bottom style="medium">
        <color rgb="FFA4A4A4"/>
      </bottom>
      <diagonal/>
    </border>
    <border>
      <left/>
      <right/>
      <top style="medium">
        <color rgb="FFA4A4A4"/>
      </top>
      <bottom/>
      <diagonal/>
    </border>
  </borders>
  <cellStyleXfs count="4">
    <xf numFmtId="0" fontId="0" fillId="0" borderId="0"/>
    <xf numFmtId="43" fontId="1" fillId="0" borderId="0" applyFont="0" applyFill="0" applyBorder="0" applyAlignment="0" applyProtection="0"/>
    <xf numFmtId="0" fontId="2" fillId="0" borderId="0"/>
    <xf numFmtId="0" fontId="10" fillId="0" borderId="0" applyNumberFormat="0" applyFill="0" applyBorder="0" applyAlignment="0" applyProtection="0"/>
  </cellStyleXfs>
  <cellXfs count="132">
    <xf numFmtId="0" fontId="0" fillId="0" borderId="0" xfId="0"/>
    <xf numFmtId="0" fontId="3" fillId="2" borderId="1" xfId="2" applyFont="1" applyFill="1" applyBorder="1" applyAlignment="1">
      <alignment horizontal="center" vertical="center" wrapText="1"/>
    </xf>
    <xf numFmtId="0" fontId="3" fillId="2" borderId="1" xfId="2" applyFont="1" applyFill="1" applyBorder="1" applyAlignment="1">
      <alignment horizontal="right" vertical="center" wrapText="1"/>
    </xf>
    <xf numFmtId="164" fontId="3" fillId="2" borderId="1" xfId="2" applyNumberFormat="1" applyFont="1" applyFill="1" applyBorder="1" applyAlignment="1">
      <alignment horizontal="center" vertical="center" wrapText="1"/>
    </xf>
    <xf numFmtId="49" fontId="3" fillId="2" borderId="1" xfId="2" applyNumberFormat="1" applyFont="1" applyFill="1" applyBorder="1" applyAlignment="1">
      <alignment horizontal="center" vertical="center" wrapText="1"/>
    </xf>
    <xf numFmtId="0" fontId="0" fillId="0" borderId="0" xfId="0" applyAlignment="1">
      <alignment horizontal="right"/>
    </xf>
    <xf numFmtId="0" fontId="5" fillId="0" borderId="0" xfId="0" applyFont="1" applyProtection="1">
      <protection locked="0"/>
    </xf>
    <xf numFmtId="0" fontId="6" fillId="0" borderId="0" xfId="0" applyFont="1"/>
    <xf numFmtId="0" fontId="7" fillId="0" borderId="0" xfId="0" applyFont="1" applyAlignment="1">
      <alignment horizontal="right"/>
    </xf>
    <xf numFmtId="43" fontId="0" fillId="0" borderId="0" xfId="1" applyFont="1"/>
    <xf numFmtId="0" fontId="8" fillId="3" borderId="3" xfId="0" applyFont="1" applyFill="1" applyBorder="1" applyAlignment="1">
      <alignment horizontal="left"/>
    </xf>
    <xf numFmtId="0" fontId="9" fillId="4" borderId="2" xfId="0" applyFont="1" applyFill="1" applyBorder="1" applyAlignment="1">
      <alignment vertical="top"/>
    </xf>
    <xf numFmtId="0" fontId="9" fillId="3" borderId="2" xfId="0" applyFont="1" applyFill="1" applyBorder="1" applyAlignment="1">
      <alignment vertical="top"/>
    </xf>
    <xf numFmtId="0" fontId="0" fillId="3" borderId="4" xfId="0" applyFill="1" applyBorder="1"/>
    <xf numFmtId="0" fontId="0" fillId="3" borderId="5" xfId="0" applyFill="1" applyBorder="1"/>
    <xf numFmtId="0" fontId="0" fillId="3" borderId="6" xfId="0" applyFill="1" applyBorder="1"/>
    <xf numFmtId="0" fontId="11" fillId="5" borderId="7" xfId="0" applyFont="1" applyFill="1" applyBorder="1" applyAlignment="1">
      <alignment horizontal="center" vertical="center"/>
    </xf>
    <xf numFmtId="0" fontId="10" fillId="3" borderId="7" xfId="3" applyFill="1" applyBorder="1" applyAlignment="1">
      <alignment horizontal="left" vertical="center"/>
    </xf>
    <xf numFmtId="0" fontId="12" fillId="3" borderId="7" xfId="0" applyFont="1" applyFill="1" applyBorder="1" applyAlignment="1">
      <alignment horizontal="left" vertical="center"/>
    </xf>
    <xf numFmtId="0" fontId="9" fillId="6" borderId="2" xfId="0" applyFont="1" applyFill="1" applyBorder="1" applyAlignment="1">
      <alignment vertical="top"/>
    </xf>
    <xf numFmtId="0" fontId="0" fillId="0" borderId="1" xfId="0" applyBorder="1" applyProtection="1">
      <protection locked="0"/>
    </xf>
    <xf numFmtId="0" fontId="0" fillId="0" borderId="1" xfId="0" quotePrefix="1" applyBorder="1" applyProtection="1">
      <protection locked="0"/>
    </xf>
    <xf numFmtId="0" fontId="0" fillId="0" borderId="0" xfId="0" applyProtection="1">
      <protection locked="0"/>
    </xf>
    <xf numFmtId="0" fontId="0" fillId="0" borderId="0" xfId="0" quotePrefix="1" applyProtection="1">
      <protection locked="0"/>
    </xf>
    <xf numFmtId="0" fontId="11" fillId="5" borderId="7" xfId="0" applyFont="1" applyFill="1" applyBorder="1" applyAlignment="1">
      <alignment horizontal="center" vertical="center" wrapText="1"/>
    </xf>
    <xf numFmtId="0" fontId="0" fillId="6" borderId="0" xfId="0" applyFill="1"/>
    <xf numFmtId="0" fontId="0" fillId="0" borderId="0" xfId="0" applyAlignment="1">
      <alignment horizontal="left"/>
    </xf>
    <xf numFmtId="0" fontId="15" fillId="0" borderId="0" xfId="0" applyFont="1"/>
    <xf numFmtId="49" fontId="0" fillId="0" borderId="0" xfId="0" applyNumberFormat="1" applyProtection="1">
      <protection locked="0"/>
    </xf>
    <xf numFmtId="0" fontId="6" fillId="0" borderId="0" xfId="0" applyFont="1" applyAlignment="1">
      <alignment horizontal="left"/>
    </xf>
    <xf numFmtId="0" fontId="0" fillId="0" borderId="0" xfId="0" applyAlignment="1" applyProtection="1">
      <alignment vertical="center" wrapText="1"/>
      <protection locked="0"/>
    </xf>
    <xf numFmtId="0" fontId="7" fillId="0" borderId="0" xfId="0" applyFont="1" applyAlignment="1" applyProtection="1">
      <alignment horizontal="left" vertical="center"/>
      <protection locked="0"/>
    </xf>
    <xf numFmtId="0" fontId="6" fillId="0" borderId="0" xfId="0" applyFont="1" applyAlignment="1" applyProtection="1">
      <alignment horizontal="left" vertical="center"/>
      <protection locked="0"/>
    </xf>
    <xf numFmtId="0" fontId="7" fillId="0" borderId="0" xfId="0" applyFont="1" applyAlignment="1" applyProtection="1">
      <alignment horizontal="right" vertical="center"/>
      <protection locked="0"/>
    </xf>
    <xf numFmtId="165" fontId="7" fillId="0" borderId="0" xfId="0" applyNumberFormat="1" applyFont="1" applyAlignment="1" applyProtection="1">
      <alignment horizontal="right" vertical="center"/>
      <protection locked="0"/>
    </xf>
    <xf numFmtId="0" fontId="15" fillId="0" borderId="0" xfId="0" applyFont="1" applyAlignment="1" applyProtection="1">
      <alignment horizontal="right" vertical="center"/>
      <protection locked="0"/>
    </xf>
    <xf numFmtId="0" fontId="13" fillId="0" borderId="0" xfId="0" applyFont="1"/>
    <xf numFmtId="0" fontId="0" fillId="0" borderId="0" xfId="0" applyAlignment="1" applyProtection="1">
      <alignment vertical="center"/>
      <protection locked="0"/>
    </xf>
    <xf numFmtId="3" fontId="0" fillId="0" borderId="0" xfId="0" applyNumberFormat="1" applyProtection="1">
      <protection locked="0"/>
    </xf>
    <xf numFmtId="0" fontId="13" fillId="0" borderId="0" xfId="0" applyFont="1" applyProtection="1">
      <protection locked="0"/>
    </xf>
    <xf numFmtId="166" fontId="7" fillId="0" borderId="0" xfId="0" applyNumberFormat="1" applyFont="1" applyAlignment="1">
      <alignment horizontal="right" vertical="top"/>
    </xf>
    <xf numFmtId="0" fontId="18" fillId="7" borderId="12" xfId="0" applyFont="1" applyFill="1" applyBorder="1" applyAlignment="1">
      <alignment vertical="center"/>
    </xf>
    <xf numFmtId="0" fontId="19" fillId="8" borderId="0" xfId="0" applyFont="1" applyFill="1" applyAlignment="1">
      <alignment horizontal="left" vertical="center"/>
    </xf>
    <xf numFmtId="14" fontId="18" fillId="7" borderId="12" xfId="0" applyNumberFormat="1" applyFont="1" applyFill="1" applyBorder="1" applyAlignment="1">
      <alignment vertical="center"/>
    </xf>
    <xf numFmtId="0" fontId="18" fillId="3" borderId="12" xfId="0" applyFont="1" applyFill="1" applyBorder="1" applyAlignment="1">
      <alignment vertical="center"/>
    </xf>
    <xf numFmtId="14" fontId="18" fillId="3" borderId="12" xfId="0" applyNumberFormat="1" applyFont="1" applyFill="1" applyBorder="1" applyAlignment="1">
      <alignment vertical="center"/>
    </xf>
    <xf numFmtId="0" fontId="10" fillId="0" borderId="0" xfId="3" applyFill="1" applyBorder="1" applyAlignment="1">
      <alignment horizontal="left" vertical="center"/>
    </xf>
    <xf numFmtId="0" fontId="12" fillId="0" borderId="0" xfId="0" applyFont="1" applyAlignment="1">
      <alignment horizontal="left" vertical="center"/>
    </xf>
    <xf numFmtId="0" fontId="0" fillId="0" borderId="0" xfId="0" applyAlignment="1">
      <alignment wrapText="1"/>
    </xf>
    <xf numFmtId="0" fontId="12" fillId="0" borderId="8" xfId="0" quotePrefix="1" applyFont="1" applyBorder="1" applyAlignment="1">
      <alignment horizontal="right" vertical="center"/>
    </xf>
    <xf numFmtId="0" fontId="0" fillId="0" borderId="1" xfId="0" applyBorder="1"/>
    <xf numFmtId="43" fontId="17" fillId="0" borderId="1" xfId="0" applyNumberFormat="1" applyFont="1" applyBorder="1"/>
    <xf numFmtId="0" fontId="21" fillId="0" borderId="0" xfId="0" applyFont="1" applyAlignment="1" applyProtection="1">
      <alignment horizontal="left" vertical="top" wrapText="1"/>
      <protection locked="0"/>
    </xf>
    <xf numFmtId="0" fontId="7" fillId="0" borderId="0" xfId="0" applyFont="1" applyAlignment="1" applyProtection="1">
      <alignment horizontal="left" vertical="center" wrapText="1"/>
      <protection locked="0"/>
    </xf>
    <xf numFmtId="0" fontId="1" fillId="0" borderId="0" xfId="0" applyFont="1" applyAlignment="1" applyProtection="1">
      <alignment wrapText="1"/>
      <protection locked="0"/>
    </xf>
    <xf numFmtId="1" fontId="7" fillId="0" borderId="0" xfId="0" applyNumberFormat="1" applyFont="1" applyAlignment="1" applyProtection="1">
      <alignment horizontal="right" vertical="center" wrapText="1"/>
      <protection locked="0"/>
    </xf>
    <xf numFmtId="0" fontId="1" fillId="0" borderId="0" xfId="0" applyFont="1" applyAlignment="1" applyProtection="1">
      <alignment vertical="center" wrapText="1"/>
      <protection locked="0"/>
    </xf>
    <xf numFmtId="0" fontId="21" fillId="0" borderId="0" xfId="0" applyFont="1" applyAlignment="1" applyProtection="1">
      <alignment horizontal="right" vertical="top" wrapText="1"/>
      <protection locked="0"/>
    </xf>
    <xf numFmtId="0" fontId="7" fillId="0" borderId="0" xfId="0" applyFont="1" applyAlignment="1" applyProtection="1">
      <alignment horizontal="left" vertical="top" wrapText="1"/>
      <protection locked="0"/>
    </xf>
    <xf numFmtId="0" fontId="7" fillId="0" borderId="0" xfId="0" applyFont="1" applyAlignment="1" applyProtection="1">
      <alignment horizontal="right" vertical="top" wrapText="1"/>
      <protection locked="0"/>
    </xf>
    <xf numFmtId="49" fontId="1" fillId="0" borderId="0" xfId="0" applyNumberFormat="1" applyFont="1" applyAlignment="1" applyProtection="1">
      <alignment horizontal="right" wrapText="1"/>
      <protection locked="0"/>
    </xf>
    <xf numFmtId="0" fontId="22" fillId="0" borderId="0" xfId="0" applyFont="1" applyAlignment="1" applyProtection="1">
      <alignment horizontal="left" vertical="center"/>
      <protection locked="0"/>
    </xf>
    <xf numFmtId="1" fontId="5" fillId="0" borderId="0" xfId="0" applyNumberFormat="1" applyFont="1" applyAlignment="1" applyProtection="1">
      <alignment horizontal="right" vertical="justify"/>
      <protection locked="0"/>
    </xf>
    <xf numFmtId="0" fontId="5" fillId="0" borderId="0" xfId="0" applyFont="1" applyAlignment="1" applyProtection="1">
      <alignment vertical="center" wrapText="1"/>
      <protection locked="0"/>
    </xf>
    <xf numFmtId="0" fontId="7" fillId="0" borderId="0" xfId="0" applyFont="1" applyAlignment="1">
      <alignment horizontal="left" vertical="top"/>
    </xf>
    <xf numFmtId="0" fontId="7" fillId="0" borderId="0" xfId="0" applyFont="1" applyAlignment="1">
      <alignment horizontal="right" vertical="top"/>
    </xf>
    <xf numFmtId="0" fontId="5" fillId="0" borderId="0" xfId="0" applyFont="1" applyAlignment="1" applyProtection="1">
      <alignment horizontal="right"/>
      <protection locked="0"/>
    </xf>
    <xf numFmtId="0" fontId="7" fillId="0" borderId="0" xfId="0" applyFont="1" applyAlignment="1">
      <alignment horizontal="right" vertical="top" wrapText="1"/>
    </xf>
    <xf numFmtId="0" fontId="7" fillId="0" borderId="0" xfId="0" applyFont="1" applyAlignment="1">
      <alignment horizontal="left" vertical="center"/>
    </xf>
    <xf numFmtId="0" fontId="0" fillId="3" borderId="0" xfId="0" applyFill="1"/>
    <xf numFmtId="0" fontId="12" fillId="3" borderId="8" xfId="0" quotePrefix="1" applyFont="1" applyFill="1" applyBorder="1" applyAlignment="1">
      <alignment horizontal="right" vertical="center"/>
    </xf>
    <xf numFmtId="0" fontId="5" fillId="0" borderId="0" xfId="0" applyFont="1" applyAlignment="1" applyProtection="1">
      <alignment vertical="center"/>
      <protection locked="0"/>
    </xf>
    <xf numFmtId="0" fontId="22" fillId="0" borderId="0" xfId="0" quotePrefix="1" applyFont="1" applyAlignment="1" applyProtection="1">
      <alignment horizontal="left" vertical="center"/>
      <protection locked="0"/>
    </xf>
    <xf numFmtId="1" fontId="0" fillId="0" borderId="0" xfId="0" applyNumberFormat="1" applyProtection="1">
      <protection locked="0"/>
    </xf>
    <xf numFmtId="167" fontId="7" fillId="0" borderId="0" xfId="0" applyNumberFormat="1" applyFont="1" applyAlignment="1" applyProtection="1">
      <alignment horizontal="right" vertical="center"/>
      <protection locked="0"/>
    </xf>
    <xf numFmtId="0" fontId="18" fillId="7" borderId="12" xfId="0" applyFont="1" applyFill="1" applyBorder="1" applyAlignment="1">
      <alignment vertical="center" wrapText="1"/>
    </xf>
    <xf numFmtId="14" fontId="18" fillId="7" borderId="12" xfId="0" applyNumberFormat="1" applyFont="1" applyFill="1" applyBorder="1" applyAlignment="1">
      <alignment vertical="center" wrapText="1"/>
    </xf>
    <xf numFmtId="0" fontId="18" fillId="3" borderId="12" xfId="0" applyFont="1" applyFill="1" applyBorder="1" applyAlignment="1">
      <alignment vertical="center" wrapText="1"/>
    </xf>
    <xf numFmtId="14" fontId="18" fillId="3" borderId="12" xfId="0" applyNumberFormat="1" applyFont="1" applyFill="1" applyBorder="1" applyAlignment="1">
      <alignment vertical="center" wrapText="1"/>
    </xf>
    <xf numFmtId="0" fontId="19" fillId="8" borderId="0" xfId="0" applyFont="1" applyFill="1" applyAlignment="1">
      <alignment horizontal="left" vertical="center" wrapText="1"/>
    </xf>
    <xf numFmtId="0" fontId="0" fillId="0" borderId="0" xfId="0" applyAlignment="1">
      <alignment horizontal="left" vertical="center"/>
    </xf>
    <xf numFmtId="0" fontId="18" fillId="3" borderId="13" xfId="0" applyFont="1" applyFill="1" applyBorder="1" applyAlignment="1">
      <alignment vertical="center" wrapText="1"/>
    </xf>
    <xf numFmtId="14" fontId="18" fillId="3" borderId="13" xfId="0" applyNumberFormat="1" applyFont="1" applyFill="1" applyBorder="1" applyAlignment="1">
      <alignment vertical="center" wrapText="1"/>
    </xf>
    <xf numFmtId="49" fontId="0" fillId="0" borderId="1" xfId="0" applyNumberFormat="1" applyBorder="1" applyProtection="1">
      <protection locked="0"/>
    </xf>
    <xf numFmtId="0" fontId="21" fillId="0" borderId="1" xfId="0" applyFont="1" applyBorder="1" applyAlignment="1" applyProtection="1">
      <alignment horizontal="left" vertical="top" wrapText="1"/>
      <protection locked="0"/>
    </xf>
    <xf numFmtId="1" fontId="0" fillId="0" borderId="1" xfId="0" applyNumberFormat="1" applyBorder="1" applyProtection="1">
      <protection locked="0"/>
    </xf>
    <xf numFmtId="0" fontId="7" fillId="0" borderId="0" xfId="0" applyFont="1"/>
    <xf numFmtId="2" fontId="0" fillId="0" borderId="0" xfId="0" applyNumberFormat="1" applyProtection="1">
      <protection locked="0"/>
    </xf>
    <xf numFmtId="0" fontId="0" fillId="0" borderId="0" xfId="0" quotePrefix="1"/>
    <xf numFmtId="0" fontId="15" fillId="0" borderId="1" xfId="0" applyFont="1" applyBorder="1" applyProtection="1">
      <protection locked="0"/>
    </xf>
    <xf numFmtId="0" fontId="15" fillId="0" borderId="0" xfId="0" applyFont="1" applyAlignment="1">
      <alignment horizontal="left"/>
    </xf>
    <xf numFmtId="0" fontId="21" fillId="0" borderId="0" xfId="0" applyFont="1" applyAlignment="1" applyProtection="1">
      <alignment horizontal="left" vertical="top"/>
      <protection locked="0"/>
    </xf>
    <xf numFmtId="49" fontId="13" fillId="0" borderId="0" xfId="0" applyNumberFormat="1" applyFont="1" applyProtection="1">
      <protection locked="0"/>
    </xf>
    <xf numFmtId="0" fontId="16" fillId="0" borderId="0" xfId="0" applyFont="1" applyAlignment="1" applyProtection="1">
      <alignment horizontal="left" vertical="top"/>
      <protection locked="0"/>
    </xf>
    <xf numFmtId="3" fontId="13" fillId="0" borderId="0" xfId="0" applyNumberFormat="1" applyFont="1" applyProtection="1">
      <protection locked="0"/>
    </xf>
    <xf numFmtId="0" fontId="1" fillId="0" borderId="0" xfId="0" applyFont="1" applyAlignment="1">
      <alignment horizontal="right"/>
    </xf>
    <xf numFmtId="0" fontId="21" fillId="0" borderId="0" xfId="0" applyFont="1" applyAlignment="1">
      <alignment horizontal="left" vertical="top"/>
    </xf>
    <xf numFmtId="0" fontId="16" fillId="0" borderId="0" xfId="0" applyFont="1" applyAlignment="1">
      <alignment horizontal="left" vertical="top"/>
    </xf>
    <xf numFmtId="0" fontId="15" fillId="0" borderId="0" xfId="0" applyFont="1" applyProtection="1">
      <protection locked="0"/>
    </xf>
    <xf numFmtId="0" fontId="15" fillId="0" borderId="0" xfId="0" applyFont="1" applyAlignment="1" applyProtection="1">
      <alignment vertical="top"/>
      <protection locked="0"/>
    </xf>
    <xf numFmtId="0" fontId="24" fillId="0" borderId="0" xfId="0" applyFont="1" applyAlignment="1" applyProtection="1">
      <alignment horizontal="left" vertical="top" wrapText="1"/>
      <protection locked="0"/>
    </xf>
    <xf numFmtId="0" fontId="24" fillId="0" borderId="0" xfId="0" applyFont="1" applyAlignment="1" applyProtection="1">
      <alignment horizontal="right" vertical="top" wrapText="1"/>
      <protection locked="0"/>
    </xf>
    <xf numFmtId="0" fontId="7" fillId="0" borderId="0" xfId="0" quotePrefix="1" applyFont="1" applyAlignment="1">
      <alignment horizontal="left"/>
    </xf>
    <xf numFmtId="1" fontId="0" fillId="0" borderId="0" xfId="0" applyNumberFormat="1" applyAlignment="1" applyProtection="1">
      <alignment horizontal="left"/>
      <protection locked="0"/>
    </xf>
    <xf numFmtId="1" fontId="0" fillId="0" borderId="0" xfId="0" quotePrefix="1" applyNumberFormat="1" applyProtection="1">
      <protection locked="0"/>
    </xf>
    <xf numFmtId="0" fontId="13" fillId="0" borderId="0" xfId="0" applyFont="1" applyAlignment="1">
      <alignment horizontal="left"/>
    </xf>
    <xf numFmtId="0" fontId="25" fillId="7" borderId="12" xfId="0" applyFont="1" applyFill="1" applyBorder="1" applyAlignment="1">
      <alignment vertical="center" wrapText="1"/>
    </xf>
    <xf numFmtId="0" fontId="26" fillId="0" borderId="0" xfId="0" applyFont="1"/>
    <xf numFmtId="0" fontId="13" fillId="0" borderId="0" xfId="0" applyFont="1" applyAlignment="1" applyProtection="1">
      <alignment horizontal="left" vertical="center"/>
      <protection locked="0"/>
    </xf>
    <xf numFmtId="0" fontId="21" fillId="0" borderId="0" xfId="0" applyFont="1" applyAlignment="1" applyProtection="1">
      <alignment horizontal="left" vertical="center"/>
      <protection locked="0"/>
    </xf>
    <xf numFmtId="167" fontId="21" fillId="0" borderId="0" xfId="0" applyNumberFormat="1" applyFont="1" applyAlignment="1" applyProtection="1">
      <alignment horizontal="right" vertical="center"/>
      <protection locked="0"/>
    </xf>
    <xf numFmtId="0" fontId="27" fillId="0" borderId="0" xfId="0" applyFont="1"/>
    <xf numFmtId="0" fontId="27" fillId="0" borderId="0" xfId="0" applyFont="1" applyAlignment="1" applyProtection="1">
      <alignment vertical="center"/>
      <protection locked="0"/>
    </xf>
    <xf numFmtId="0" fontId="27" fillId="0" borderId="0" xfId="0" applyFont="1" applyAlignment="1" applyProtection="1">
      <alignment vertical="center" wrapText="1"/>
      <protection locked="0"/>
    </xf>
    <xf numFmtId="0" fontId="28" fillId="0" borderId="0" xfId="0" applyFont="1" applyAlignment="1" applyProtection="1">
      <alignment vertical="center" wrapText="1"/>
      <protection locked="0"/>
    </xf>
    <xf numFmtId="0" fontId="27" fillId="0" borderId="0" xfId="0" quotePrefix="1" applyFont="1" applyProtection="1">
      <protection locked="0"/>
    </xf>
    <xf numFmtId="0" fontId="27" fillId="0" borderId="0" xfId="0" applyFont="1" applyAlignment="1" applyProtection="1">
      <alignment horizontal="left" vertical="top" wrapText="1"/>
      <protection locked="0"/>
    </xf>
    <xf numFmtId="0" fontId="27" fillId="0" borderId="0" xfId="0" applyFont="1" applyAlignment="1" applyProtection="1">
      <alignment horizontal="right" vertical="top" wrapText="1"/>
      <protection locked="0"/>
    </xf>
    <xf numFmtId="0" fontId="27" fillId="0" borderId="0" xfId="0" applyFont="1" applyAlignment="1" applyProtection="1">
      <alignment horizontal="left" vertical="center"/>
      <protection locked="0"/>
    </xf>
    <xf numFmtId="0" fontId="27" fillId="0" borderId="0" xfId="0" applyFont="1" applyAlignment="1" applyProtection="1">
      <alignment horizontal="right" vertical="center"/>
      <protection locked="0"/>
    </xf>
    <xf numFmtId="0" fontId="27" fillId="0" borderId="0" xfId="0" applyFont="1" applyAlignment="1">
      <alignment horizontal="left"/>
    </xf>
    <xf numFmtId="0" fontId="27" fillId="0" borderId="0" xfId="0" applyFont="1" applyAlignment="1">
      <alignment horizontal="right"/>
    </xf>
    <xf numFmtId="0" fontId="27" fillId="0" borderId="0" xfId="0" quotePrefix="1" applyFont="1"/>
    <xf numFmtId="0" fontId="27" fillId="0" borderId="0" xfId="0" applyFont="1" applyProtection="1">
      <protection locked="0"/>
    </xf>
    <xf numFmtId="1" fontId="27" fillId="0" borderId="0" xfId="0" quotePrefix="1" applyNumberFormat="1" applyFont="1" applyProtection="1">
      <protection locked="0"/>
    </xf>
    <xf numFmtId="1" fontId="27" fillId="0" borderId="0" xfId="0" applyNumberFormat="1" applyFont="1" applyProtection="1">
      <protection locked="0"/>
    </xf>
    <xf numFmtId="0" fontId="14" fillId="3" borderId="9" xfId="0" applyFont="1" applyFill="1" applyBorder="1" applyAlignment="1">
      <alignment vertical="center"/>
    </xf>
    <xf numFmtId="0" fontId="14" fillId="3" borderId="10" xfId="0" applyFont="1" applyFill="1" applyBorder="1" applyAlignment="1">
      <alignment vertical="center"/>
    </xf>
    <xf numFmtId="0" fontId="14" fillId="3" borderId="11" xfId="0" applyFont="1" applyFill="1" applyBorder="1" applyAlignment="1">
      <alignment vertical="center"/>
    </xf>
    <xf numFmtId="0" fontId="20" fillId="0" borderId="13" xfId="0" applyFont="1" applyBorder="1" applyAlignment="1">
      <alignment horizontal="left" vertical="top"/>
    </xf>
    <xf numFmtId="0" fontId="20" fillId="3" borderId="13" xfId="0" applyFont="1" applyFill="1" applyBorder="1" applyAlignment="1">
      <alignment horizontal="left" vertical="top"/>
    </xf>
    <xf numFmtId="0" fontId="19" fillId="3" borderId="0" xfId="0" applyFont="1" applyFill="1" applyAlignment="1">
      <alignment horizontal="left" vertical="top"/>
    </xf>
  </cellXfs>
  <cellStyles count="4">
    <cellStyle name="Comma" xfId="1" builtinId="3"/>
    <cellStyle name="Hyperlink" xfId="3" builtinId="8"/>
    <cellStyle name="Normal" xfId="0" builtinId="0"/>
    <cellStyle name="Normal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activeX1.xml><?xml version="1.0" encoding="utf-8"?>
<ax:ocx xmlns:ax="http://schemas.microsoft.com/office/2006/activeX" xmlns:r="http://schemas.openxmlformats.org/officeDocument/2006/relationships" ax:classid="{5512D116-5CC6-11CF-8D67-00AA00BDCE1D}" ax:persistence="persistStream" r:id="rId1"/>
</file>

<file path=xl/activeX/activeX2.xml><?xml version="1.0" encoding="utf-8"?>
<ax:ocx xmlns:ax="http://schemas.microsoft.com/office/2006/activeX" xmlns:r="http://schemas.openxmlformats.org/officeDocument/2006/relationships" ax:classid="{5512D116-5CC6-11CF-8D67-00AA00BDCE1D}" ax:persistence="persistStream" r:id="rId1"/>
</file>

<file path=xl/activeX/activeX3.xml><?xml version="1.0" encoding="utf-8"?>
<ax:ocx xmlns:ax="http://schemas.microsoft.com/office/2006/activeX" xmlns:r="http://schemas.openxmlformats.org/officeDocument/2006/relationships" ax:classid="{5512D116-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63</xdr:row>
          <xdr:rowOff>0</xdr:rowOff>
        </xdr:from>
        <xdr:to>
          <xdr:col>0</xdr:col>
          <xdr:colOff>257175</xdr:colOff>
          <xdr:row>64</xdr:row>
          <xdr:rowOff>38100</xdr:rowOff>
        </xdr:to>
        <xdr:sp macro="" textlink="">
          <xdr:nvSpPr>
            <xdr:cNvPr id="4097" name="Control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116</xdr:row>
          <xdr:rowOff>0</xdr:rowOff>
        </xdr:from>
        <xdr:to>
          <xdr:col>0</xdr:col>
          <xdr:colOff>257175</xdr:colOff>
          <xdr:row>117</xdr:row>
          <xdr:rowOff>38100</xdr:rowOff>
        </xdr:to>
        <xdr:sp macro="" textlink="">
          <xdr:nvSpPr>
            <xdr:cNvPr id="4098" name="Control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204</xdr:row>
          <xdr:rowOff>0</xdr:rowOff>
        </xdr:from>
        <xdr:to>
          <xdr:col>0</xdr:col>
          <xdr:colOff>257175</xdr:colOff>
          <xdr:row>204</xdr:row>
          <xdr:rowOff>238125</xdr:rowOff>
        </xdr:to>
        <xdr:sp macro="" textlink="">
          <xdr:nvSpPr>
            <xdr:cNvPr id="4099" name="Control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12\e\Data\Apollo%20Hospital\apollo%20hospitals%20shareholders%20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c-12\g\Users\user\Desktop\Voltas\IEPF%20shares\IEPF%20shares%20201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c-12\g\Data\Taken%20for%20PDF%20&amp;%20Excel%20Master%20List\Tata%20Motors%20IEPF%20my%20doc\Unpaid%20dividend%20IEPF-1-21-Aug-2013%20jn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c-12\g\Users\user\Desktop\Tata%20Steel%20Ltd\IEPF%20dividend%2017-oct-201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hareHolders"/>
      <sheetName val="Class of Shares"/>
    </sheetNames>
    <sheetDataSet>
      <sheetData sheetId="0"/>
      <sheetData sheetId="1"/>
      <sheetData sheetId="2">
        <row r="2">
          <cell r="A2" t="str">
            <v>Equity share</v>
          </cell>
        </row>
        <row r="3">
          <cell r="A3" t="str">
            <v>Preference share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Investor Details"/>
      <sheetName val="Error"/>
      <sheetName val="Sheet3"/>
      <sheetName val="Country_State_District_Mapping"/>
    </sheetNames>
    <sheetDataSet>
      <sheetData sheetId="0"/>
      <sheetData sheetId="1"/>
      <sheetData sheetId="2"/>
      <sheetData sheetId="3">
        <row r="2">
          <cell r="A2" t="str">
            <v>INDIA</v>
          </cell>
        </row>
        <row r="3">
          <cell r="A3" t="str">
            <v>AFGHANISTAN</v>
          </cell>
        </row>
        <row r="4">
          <cell r="A4" t="str">
            <v>ALAND ISLANDS</v>
          </cell>
        </row>
        <row r="5">
          <cell r="A5" t="str">
            <v>ALBANIA</v>
          </cell>
        </row>
        <row r="6">
          <cell r="A6" t="str">
            <v>ALGERIA</v>
          </cell>
        </row>
        <row r="7">
          <cell r="A7" t="str">
            <v>AMERICAN SAMOA</v>
          </cell>
        </row>
        <row r="8">
          <cell r="A8" t="str">
            <v>ANDORRA</v>
          </cell>
        </row>
        <row r="9">
          <cell r="A9" t="str">
            <v>ANGOLA</v>
          </cell>
        </row>
        <row r="10">
          <cell r="A10" t="str">
            <v>ANGUILLA</v>
          </cell>
        </row>
        <row r="11">
          <cell r="A11" t="str">
            <v>ANTARCTICA</v>
          </cell>
        </row>
        <row r="12">
          <cell r="A12" t="str">
            <v>ANTIGUA AND BARBUDA</v>
          </cell>
        </row>
        <row r="13">
          <cell r="A13" t="str">
            <v>ARGENTINA</v>
          </cell>
        </row>
        <row r="14">
          <cell r="A14" t="str">
            <v>ARMENIA</v>
          </cell>
        </row>
        <row r="15">
          <cell r="A15" t="str">
            <v>ARUBA</v>
          </cell>
        </row>
        <row r="16">
          <cell r="A16" t="str">
            <v>AUSTRALIA</v>
          </cell>
        </row>
        <row r="17">
          <cell r="A17" t="str">
            <v>AUSTRIA</v>
          </cell>
        </row>
        <row r="18">
          <cell r="A18" t="str">
            <v>AZERBAIJAN</v>
          </cell>
        </row>
        <row r="19">
          <cell r="A19" t="str">
            <v>BAHAMAS</v>
          </cell>
        </row>
        <row r="20">
          <cell r="A20" t="str">
            <v>BAHRAIN</v>
          </cell>
        </row>
        <row r="21">
          <cell r="A21" t="str">
            <v>BANGLADESH</v>
          </cell>
        </row>
        <row r="22">
          <cell r="A22" t="str">
            <v>BARBADOS</v>
          </cell>
        </row>
        <row r="23">
          <cell r="A23" t="str">
            <v>BELARUS</v>
          </cell>
        </row>
        <row r="24">
          <cell r="A24" t="str">
            <v>BELGIUM</v>
          </cell>
        </row>
        <row r="25">
          <cell r="A25" t="str">
            <v>BELIZE</v>
          </cell>
        </row>
        <row r="26">
          <cell r="A26" t="str">
            <v>BENIN</v>
          </cell>
        </row>
        <row r="27">
          <cell r="A27" t="str">
            <v>BERMUDA</v>
          </cell>
        </row>
        <row r="28">
          <cell r="A28" t="str">
            <v>BHUTAN</v>
          </cell>
        </row>
        <row r="29">
          <cell r="A29" t="str">
            <v>BOLIVIA</v>
          </cell>
        </row>
        <row r="30">
          <cell r="A30" t="str">
            <v>BOSNIA AND HERZEGOVINA</v>
          </cell>
        </row>
        <row r="31">
          <cell r="A31" t="str">
            <v>BOTSWANA</v>
          </cell>
        </row>
        <row r="32">
          <cell r="A32" t="str">
            <v>BOUVET ISLAND</v>
          </cell>
        </row>
        <row r="33">
          <cell r="A33" t="str">
            <v>BRAZIL</v>
          </cell>
        </row>
        <row r="34">
          <cell r="A34" t="str">
            <v>BRITISH INDIAN OCEAN TERRITORY</v>
          </cell>
        </row>
        <row r="35">
          <cell r="A35" t="str">
            <v>BRUNEI DARUSSALAM</v>
          </cell>
        </row>
        <row r="36">
          <cell r="A36" t="str">
            <v>BULGARIA</v>
          </cell>
        </row>
        <row r="37">
          <cell r="A37" t="str">
            <v>BURKINA FASO</v>
          </cell>
        </row>
        <row r="38">
          <cell r="A38" t="str">
            <v>BURUNDI</v>
          </cell>
        </row>
        <row r="39">
          <cell r="A39" t="str">
            <v>CAMBODIA</v>
          </cell>
        </row>
        <row r="40">
          <cell r="A40" t="str">
            <v>CAMEROON</v>
          </cell>
        </row>
        <row r="41">
          <cell r="A41" t="str">
            <v>CANADA</v>
          </cell>
        </row>
        <row r="42">
          <cell r="A42" t="str">
            <v>CAPE VERDE</v>
          </cell>
        </row>
        <row r="43">
          <cell r="A43" t="str">
            <v>CAYMAN ISLANDS</v>
          </cell>
        </row>
        <row r="44">
          <cell r="A44" t="str">
            <v>CENTRAL AFRICAN REPUBLIC</v>
          </cell>
        </row>
        <row r="45">
          <cell r="A45" t="str">
            <v>CHAD</v>
          </cell>
        </row>
        <row r="46">
          <cell r="A46" t="str">
            <v>CHILE</v>
          </cell>
        </row>
        <row r="47">
          <cell r="A47" t="str">
            <v>CHINA</v>
          </cell>
        </row>
        <row r="48">
          <cell r="A48" t="str">
            <v>CHRISTMAS ISLAND</v>
          </cell>
        </row>
        <row r="49">
          <cell r="A49" t="str">
            <v>COCOS (KEELING) ISLANDS</v>
          </cell>
        </row>
        <row r="50">
          <cell r="A50" t="str">
            <v>COLOMBIA</v>
          </cell>
        </row>
        <row r="51">
          <cell r="A51" t="str">
            <v>COMOROS</v>
          </cell>
        </row>
        <row r="52">
          <cell r="A52" t="str">
            <v>CONGO</v>
          </cell>
        </row>
        <row r="53">
          <cell r="A53" t="str">
            <v>COOK ISLANDS</v>
          </cell>
        </row>
        <row r="54">
          <cell r="A54" t="str">
            <v>COSTA RICA</v>
          </cell>
        </row>
        <row r="55">
          <cell r="A55" t="str">
            <v>COTE DIVOIRE</v>
          </cell>
        </row>
        <row r="56">
          <cell r="A56" t="str">
            <v>CROATIA</v>
          </cell>
        </row>
        <row r="57">
          <cell r="A57" t="str">
            <v>CUBA</v>
          </cell>
        </row>
        <row r="58">
          <cell r="A58" t="str">
            <v>CYPRUS</v>
          </cell>
        </row>
        <row r="59">
          <cell r="A59" t="str">
            <v>CZECH REPUBLIC</v>
          </cell>
        </row>
        <row r="60">
          <cell r="A60" t="str">
            <v>DEMOCRATIC PEOPLES REPUBLIC OF KOREA</v>
          </cell>
        </row>
        <row r="61">
          <cell r="A61" t="str">
            <v>DENMARK</v>
          </cell>
        </row>
        <row r="62">
          <cell r="A62" t="str">
            <v>DJIBOUTI</v>
          </cell>
        </row>
        <row r="63">
          <cell r="A63" t="str">
            <v>DOMINICA</v>
          </cell>
        </row>
        <row r="64">
          <cell r="A64" t="str">
            <v>DOMINICAN REPUBLIC</v>
          </cell>
        </row>
        <row r="65">
          <cell r="A65" t="str">
            <v>ECUADOR</v>
          </cell>
        </row>
        <row r="66">
          <cell r="A66" t="str">
            <v>EGYPT</v>
          </cell>
        </row>
        <row r="67">
          <cell r="A67" t="str">
            <v>EL SALVADOR</v>
          </cell>
        </row>
        <row r="68">
          <cell r="A68" t="str">
            <v>EQUATORIAL GUINEA</v>
          </cell>
        </row>
        <row r="69">
          <cell r="A69" t="str">
            <v>ERITREA</v>
          </cell>
        </row>
        <row r="70">
          <cell r="A70" t="str">
            <v>ESTONIA</v>
          </cell>
        </row>
        <row r="71">
          <cell r="A71" t="str">
            <v>ETHIOPIA</v>
          </cell>
        </row>
        <row r="72">
          <cell r="A72" t="str">
            <v>FALKLAND ISLANDS (MALVINAS)</v>
          </cell>
        </row>
        <row r="73">
          <cell r="A73" t="str">
            <v>FAROE ISLANDS</v>
          </cell>
        </row>
        <row r="74">
          <cell r="A74" t="str">
            <v>FEDERATED STATES OF MICRONESIA</v>
          </cell>
        </row>
        <row r="75">
          <cell r="A75" t="str">
            <v>FIJI</v>
          </cell>
        </row>
        <row r="76">
          <cell r="A76" t="str">
            <v>FINLAND</v>
          </cell>
        </row>
        <row r="77">
          <cell r="A77" t="str">
            <v>FRANCE</v>
          </cell>
        </row>
        <row r="78">
          <cell r="A78" t="str">
            <v>FRENCH GUIANA</v>
          </cell>
        </row>
        <row r="79">
          <cell r="A79" t="str">
            <v>FRENCH POLYNESIA</v>
          </cell>
        </row>
        <row r="80">
          <cell r="A80" t="str">
            <v>FRENCH SOUTHERN TERRITORIES</v>
          </cell>
        </row>
        <row r="81">
          <cell r="A81" t="str">
            <v>GABON</v>
          </cell>
        </row>
        <row r="82">
          <cell r="A82" t="str">
            <v>GAMBIA</v>
          </cell>
        </row>
        <row r="83">
          <cell r="A83" t="str">
            <v>GEORGIA</v>
          </cell>
        </row>
        <row r="84">
          <cell r="A84" t="str">
            <v>GERMANY</v>
          </cell>
        </row>
        <row r="85">
          <cell r="A85" t="str">
            <v>GHANA</v>
          </cell>
        </row>
        <row r="86">
          <cell r="A86" t="str">
            <v>GIBRALTAR</v>
          </cell>
        </row>
        <row r="87">
          <cell r="A87" t="str">
            <v>GREECE</v>
          </cell>
        </row>
        <row r="88">
          <cell r="A88" t="str">
            <v>GREENLAND</v>
          </cell>
        </row>
        <row r="89">
          <cell r="A89" t="str">
            <v>GRENADA</v>
          </cell>
        </row>
        <row r="90">
          <cell r="A90" t="str">
            <v>GUADELOUPE</v>
          </cell>
        </row>
        <row r="91">
          <cell r="A91" t="str">
            <v>GUAM</v>
          </cell>
        </row>
        <row r="92">
          <cell r="A92" t="str">
            <v>GUATEMALA</v>
          </cell>
        </row>
        <row r="93">
          <cell r="A93" t="str">
            <v>GUERNSEY</v>
          </cell>
        </row>
        <row r="94">
          <cell r="A94" t="str">
            <v>GUINEA</v>
          </cell>
        </row>
        <row r="95">
          <cell r="A95" t="str">
            <v>GUINEA-BISSAU</v>
          </cell>
        </row>
        <row r="96">
          <cell r="A96" t="str">
            <v>GUYANA</v>
          </cell>
        </row>
        <row r="97">
          <cell r="A97" t="str">
            <v>HAITI</v>
          </cell>
        </row>
        <row r="98">
          <cell r="A98" t="str">
            <v>HEARD ISLAND AND MCDONALD ISLANDS</v>
          </cell>
        </row>
        <row r="99">
          <cell r="A99" t="str">
            <v>HOLY SEE (VATICAN CITY STATE)</v>
          </cell>
        </row>
        <row r="100">
          <cell r="A100" t="str">
            <v>HONDURAS</v>
          </cell>
        </row>
        <row r="101">
          <cell r="A101" t="str">
            <v>HONG KONG</v>
          </cell>
        </row>
        <row r="102">
          <cell r="A102" t="str">
            <v>HUNGARY</v>
          </cell>
        </row>
        <row r="103">
          <cell r="A103" t="str">
            <v>ICELAND</v>
          </cell>
        </row>
        <row r="104">
          <cell r="A104" t="str">
            <v>INDONESIA</v>
          </cell>
        </row>
        <row r="105">
          <cell r="A105" t="str">
            <v>IRAQ</v>
          </cell>
        </row>
        <row r="106">
          <cell r="A106" t="str">
            <v>IRELAND</v>
          </cell>
        </row>
        <row r="107">
          <cell r="A107" t="str">
            <v>ISLAMIC REPUBLIC OF IRAN</v>
          </cell>
        </row>
        <row r="108">
          <cell r="A108" t="str">
            <v>ISLE OF MAN</v>
          </cell>
        </row>
        <row r="109">
          <cell r="A109" t="str">
            <v>ISRAEL</v>
          </cell>
        </row>
        <row r="110">
          <cell r="A110" t="str">
            <v>ITALY</v>
          </cell>
        </row>
        <row r="111">
          <cell r="A111" t="str">
            <v>JAMAICA</v>
          </cell>
        </row>
        <row r="112">
          <cell r="A112" t="str">
            <v>JAPAN</v>
          </cell>
        </row>
        <row r="113">
          <cell r="A113" t="str">
            <v>JERSEY</v>
          </cell>
        </row>
        <row r="114">
          <cell r="A114" t="str">
            <v>JORDAN</v>
          </cell>
        </row>
        <row r="115">
          <cell r="A115" t="str">
            <v>KAZAKHSTAN</v>
          </cell>
        </row>
        <row r="116">
          <cell r="A116" t="str">
            <v>KENYA</v>
          </cell>
        </row>
        <row r="117">
          <cell r="A117" t="str">
            <v>KIRIBATI</v>
          </cell>
        </row>
        <row r="118">
          <cell r="A118" t="str">
            <v>KOREA</v>
          </cell>
        </row>
        <row r="119">
          <cell r="A119" t="str">
            <v>KUWAIT</v>
          </cell>
        </row>
        <row r="120">
          <cell r="A120" t="str">
            <v>KYRGYZSTAN</v>
          </cell>
        </row>
        <row r="121">
          <cell r="A121" t="str">
            <v>LAO PEOPLES DEMOCRATIC REPUBLIC</v>
          </cell>
        </row>
        <row r="122">
          <cell r="A122" t="str">
            <v>LATVIA</v>
          </cell>
        </row>
        <row r="123">
          <cell r="A123" t="str">
            <v>LEBANON</v>
          </cell>
        </row>
        <row r="124">
          <cell r="A124" t="str">
            <v>LESOTHO</v>
          </cell>
        </row>
        <row r="125">
          <cell r="A125" t="str">
            <v>LIBERIA</v>
          </cell>
        </row>
        <row r="126">
          <cell r="A126" t="str">
            <v>LIBYAN ARAB JAMAHIRIYA</v>
          </cell>
        </row>
        <row r="127">
          <cell r="A127" t="str">
            <v>LIECHTENSTEIN</v>
          </cell>
        </row>
        <row r="128">
          <cell r="A128" t="str">
            <v>LITHUANIA</v>
          </cell>
        </row>
        <row r="129">
          <cell r="A129" t="str">
            <v>LUXEMBOURG</v>
          </cell>
        </row>
        <row r="130">
          <cell r="A130" t="str">
            <v>MACAO</v>
          </cell>
        </row>
        <row r="131">
          <cell r="A131" t="str">
            <v>MADAGASCAR</v>
          </cell>
        </row>
        <row r="132">
          <cell r="A132" t="str">
            <v>MALAWI</v>
          </cell>
        </row>
        <row r="133">
          <cell r="A133" t="str">
            <v>MALAYSIA</v>
          </cell>
        </row>
        <row r="134">
          <cell r="A134" t="str">
            <v>MALDIVES</v>
          </cell>
        </row>
        <row r="135">
          <cell r="A135" t="str">
            <v>MALI</v>
          </cell>
        </row>
        <row r="136">
          <cell r="A136" t="str">
            <v>MALTA</v>
          </cell>
        </row>
        <row r="137">
          <cell r="A137" t="str">
            <v>MARSHALL ISLANDS</v>
          </cell>
        </row>
        <row r="138">
          <cell r="A138" t="str">
            <v>MARTINIQUE</v>
          </cell>
        </row>
        <row r="139">
          <cell r="A139" t="str">
            <v>MAURITANIA</v>
          </cell>
        </row>
        <row r="140">
          <cell r="A140" t="str">
            <v>MAURITIUS</v>
          </cell>
        </row>
        <row r="141">
          <cell r="A141" t="str">
            <v>MAYOTTE</v>
          </cell>
        </row>
        <row r="142">
          <cell r="A142" t="str">
            <v>MEXICO</v>
          </cell>
        </row>
        <row r="143">
          <cell r="A143" t="str">
            <v>MONACO</v>
          </cell>
        </row>
        <row r="144">
          <cell r="A144" t="str">
            <v>MONGOLIA</v>
          </cell>
        </row>
        <row r="145">
          <cell r="A145" t="str">
            <v>MONTENEGRO</v>
          </cell>
        </row>
        <row r="146">
          <cell r="A146" t="str">
            <v>MONTSERRAT</v>
          </cell>
        </row>
        <row r="147">
          <cell r="A147" t="str">
            <v>MOROCCO</v>
          </cell>
        </row>
        <row r="148">
          <cell r="A148" t="str">
            <v>MOZAMBIQUE</v>
          </cell>
        </row>
        <row r="149">
          <cell r="A149" t="str">
            <v>MYANMAR</v>
          </cell>
        </row>
        <row r="150">
          <cell r="A150" t="str">
            <v>NAMIBIA</v>
          </cell>
        </row>
        <row r="151">
          <cell r="A151" t="str">
            <v>NAURU</v>
          </cell>
        </row>
        <row r="152">
          <cell r="A152" t="str">
            <v>NEPAL</v>
          </cell>
        </row>
        <row r="153">
          <cell r="A153" t="str">
            <v>NETHERLANDS</v>
          </cell>
        </row>
        <row r="154">
          <cell r="A154" t="str">
            <v>NETHERLANDS ANTILLES</v>
          </cell>
        </row>
        <row r="155">
          <cell r="A155" t="str">
            <v>NEW CALEDONIA</v>
          </cell>
        </row>
        <row r="156">
          <cell r="A156" t="str">
            <v>NEW ZEALAND</v>
          </cell>
        </row>
        <row r="157">
          <cell r="A157" t="str">
            <v>NICARAGUA</v>
          </cell>
        </row>
        <row r="158">
          <cell r="A158" t="str">
            <v>NIGER</v>
          </cell>
        </row>
        <row r="159">
          <cell r="A159" t="str">
            <v>NIGERIA</v>
          </cell>
        </row>
        <row r="160">
          <cell r="A160" t="str">
            <v>NIUE</v>
          </cell>
        </row>
        <row r="161">
          <cell r="A161" t="str">
            <v>NORFOLK ISLAND</v>
          </cell>
        </row>
        <row r="162">
          <cell r="A162" t="str">
            <v>NORTHERN MARIANA ISLANDS</v>
          </cell>
        </row>
        <row r="163">
          <cell r="A163" t="str">
            <v>NORWAY</v>
          </cell>
        </row>
        <row r="164">
          <cell r="A164" t="str">
            <v>OMAN</v>
          </cell>
        </row>
        <row r="165">
          <cell r="A165" t="str">
            <v>PAKISTAN</v>
          </cell>
        </row>
        <row r="166">
          <cell r="A166" t="str">
            <v>PALAU</v>
          </cell>
        </row>
        <row r="167">
          <cell r="A167" t="str">
            <v>PALESTINIAN TERRITORY</v>
          </cell>
        </row>
        <row r="168">
          <cell r="A168" t="str">
            <v>PANAMA</v>
          </cell>
        </row>
        <row r="169">
          <cell r="A169" t="str">
            <v>PAPUA NEW GUINEA</v>
          </cell>
        </row>
        <row r="170">
          <cell r="A170" t="str">
            <v>PARAGUAY</v>
          </cell>
        </row>
        <row r="171">
          <cell r="A171" t="str">
            <v>PERU</v>
          </cell>
        </row>
        <row r="172">
          <cell r="A172" t="str">
            <v>PHILIPPINES</v>
          </cell>
        </row>
        <row r="173">
          <cell r="A173" t="str">
            <v>PITCAIRN</v>
          </cell>
        </row>
        <row r="174">
          <cell r="A174" t="str">
            <v>POLAND</v>
          </cell>
        </row>
        <row r="175">
          <cell r="A175" t="str">
            <v>PORTUGAL</v>
          </cell>
        </row>
        <row r="176">
          <cell r="A176" t="str">
            <v>PUERTO RICO</v>
          </cell>
        </row>
        <row r="177">
          <cell r="A177" t="str">
            <v>QATAR</v>
          </cell>
        </row>
        <row r="178">
          <cell r="A178" t="str">
            <v>REPUBLIC OF MOLDOVA</v>
          </cell>
        </row>
        <row r="179">
          <cell r="A179" t="str">
            <v>REUNION</v>
          </cell>
        </row>
        <row r="180">
          <cell r="A180" t="str">
            <v>ROMANIA</v>
          </cell>
        </row>
        <row r="181">
          <cell r="A181" t="str">
            <v>RUSSIAN FEDERATION</v>
          </cell>
        </row>
        <row r="182">
          <cell r="A182" t="str">
            <v>RWANDA</v>
          </cell>
        </row>
        <row r="183">
          <cell r="A183" t="str">
            <v>SAINT BARTHELEMY</v>
          </cell>
        </row>
        <row r="184">
          <cell r="A184" t="str">
            <v>SAINT HELENA</v>
          </cell>
        </row>
        <row r="185">
          <cell r="A185" t="str">
            <v>SAINT KITTS AND NEVIS</v>
          </cell>
        </row>
        <row r="186">
          <cell r="A186" t="str">
            <v>SAINT LUCIA</v>
          </cell>
        </row>
        <row r="187">
          <cell r="A187" t="str">
            <v>SAINT MARTIN</v>
          </cell>
        </row>
        <row r="188">
          <cell r="A188" t="str">
            <v>SAINT PIERRE AND MIQUELON</v>
          </cell>
        </row>
        <row r="189">
          <cell r="A189" t="str">
            <v>SAINT VINCENT AND THE GRENADINES</v>
          </cell>
        </row>
        <row r="190">
          <cell r="A190" t="str">
            <v>SAMOA</v>
          </cell>
        </row>
        <row r="191">
          <cell r="A191" t="str">
            <v>SAN MARINO</v>
          </cell>
        </row>
        <row r="192">
          <cell r="A192" t="str">
            <v>SAO TOME AND PRINCIPE</v>
          </cell>
        </row>
        <row r="193">
          <cell r="A193" t="str">
            <v>SAUDI ARABIA</v>
          </cell>
        </row>
        <row r="194">
          <cell r="A194" t="str">
            <v>SENEGAL</v>
          </cell>
        </row>
        <row r="195">
          <cell r="A195" t="str">
            <v>SERBIA</v>
          </cell>
        </row>
        <row r="196">
          <cell r="A196" t="str">
            <v>SERBIA AND MONTENEGRO</v>
          </cell>
        </row>
        <row r="197">
          <cell r="A197" t="str">
            <v>SEYCHELLES</v>
          </cell>
        </row>
        <row r="198">
          <cell r="A198" t="str">
            <v>SIERRA LEONE</v>
          </cell>
        </row>
        <row r="199">
          <cell r="A199" t="str">
            <v>SINGAPORE</v>
          </cell>
        </row>
        <row r="200">
          <cell r="A200" t="str">
            <v>SLOVAKIA</v>
          </cell>
        </row>
        <row r="201">
          <cell r="A201" t="str">
            <v>SLOVENIA</v>
          </cell>
        </row>
        <row r="202">
          <cell r="A202" t="str">
            <v>SOLOMON ISLANDS</v>
          </cell>
        </row>
        <row r="203">
          <cell r="A203" t="str">
            <v>SOMALIA</v>
          </cell>
        </row>
        <row r="204">
          <cell r="A204" t="str">
            <v>SOUTH AFRICA</v>
          </cell>
        </row>
        <row r="205">
          <cell r="A205" t="str">
            <v>SOUTH GEORGIA AND THE SOUTH SANDWICH ISLANDS</v>
          </cell>
        </row>
        <row r="206">
          <cell r="A206" t="str">
            <v>SPAIN</v>
          </cell>
        </row>
        <row r="207">
          <cell r="A207" t="str">
            <v>SRI LANKA</v>
          </cell>
        </row>
        <row r="208">
          <cell r="A208" t="str">
            <v>SUDAN</v>
          </cell>
        </row>
        <row r="209">
          <cell r="A209" t="str">
            <v>SURINAME</v>
          </cell>
        </row>
        <row r="210">
          <cell r="A210" t="str">
            <v>SVALBARD AND JAN MAYEN</v>
          </cell>
        </row>
        <row r="211">
          <cell r="A211" t="str">
            <v>SWAZILAND</v>
          </cell>
        </row>
        <row r="212">
          <cell r="A212" t="str">
            <v>SWEDEN</v>
          </cell>
        </row>
        <row r="213">
          <cell r="A213" t="str">
            <v>SWITZERLAND</v>
          </cell>
        </row>
        <row r="214">
          <cell r="A214" t="str">
            <v>SYRIAN ARAB REPUBLIC</v>
          </cell>
        </row>
        <row r="215">
          <cell r="A215" t="str">
            <v>TAIWAN</v>
          </cell>
        </row>
        <row r="216">
          <cell r="A216" t="str">
            <v>TAJIKISTAN</v>
          </cell>
        </row>
        <row r="217">
          <cell r="A217" t="str">
            <v>THAILAND</v>
          </cell>
        </row>
        <row r="218">
          <cell r="A218" t="str">
            <v>THE DEMOCRATIC REPUBLIC OF CONGO</v>
          </cell>
        </row>
        <row r="219">
          <cell r="A219" t="str">
            <v>THE FORMER YUGOSLAV REPUBLIC OF MACEDONIA</v>
          </cell>
        </row>
        <row r="220">
          <cell r="A220" t="str">
            <v>TIMOR-LESTE</v>
          </cell>
        </row>
        <row r="221">
          <cell r="A221" t="str">
            <v>TOGO</v>
          </cell>
        </row>
        <row r="222">
          <cell r="A222" t="str">
            <v>TOKELAU</v>
          </cell>
        </row>
        <row r="223">
          <cell r="A223" t="str">
            <v>TONGA</v>
          </cell>
        </row>
        <row r="224">
          <cell r="A224" t="str">
            <v>TRINIDAD AND TOBAGO</v>
          </cell>
        </row>
        <row r="225">
          <cell r="A225" t="str">
            <v>TUNISIA</v>
          </cell>
        </row>
        <row r="226">
          <cell r="A226" t="str">
            <v>TURKEY</v>
          </cell>
        </row>
        <row r="227">
          <cell r="A227" t="str">
            <v>TURKMENISTAN</v>
          </cell>
        </row>
        <row r="228">
          <cell r="A228" t="str">
            <v>TURKS AND CAICOS ISLANDS</v>
          </cell>
        </row>
        <row r="229">
          <cell r="A229" t="str">
            <v>TUVALU</v>
          </cell>
        </row>
        <row r="230">
          <cell r="A230" t="str">
            <v>UGANDA</v>
          </cell>
        </row>
        <row r="231">
          <cell r="A231" t="str">
            <v>UKRAINE</v>
          </cell>
        </row>
        <row r="232">
          <cell r="A232" t="str">
            <v>UNITED ARAB EMIRATES</v>
          </cell>
        </row>
        <row r="233">
          <cell r="A233" t="str">
            <v>UNITED KINGDOM</v>
          </cell>
        </row>
        <row r="234">
          <cell r="A234" t="str">
            <v>UNITED REPUBLIC OF TANZANIA</v>
          </cell>
        </row>
        <row r="235">
          <cell r="A235" t="str">
            <v>UNITED STATES MINOR OUTLYING ISLANDS</v>
          </cell>
        </row>
        <row r="236">
          <cell r="A236" t="str">
            <v>UNITED STATES OF AMERICA</v>
          </cell>
        </row>
        <row r="237">
          <cell r="A237" t="str">
            <v>URUGUAY</v>
          </cell>
        </row>
        <row r="238">
          <cell r="A238" t="str">
            <v>UZBEKISTAN</v>
          </cell>
        </row>
        <row r="239">
          <cell r="A239" t="str">
            <v>VANUATU</v>
          </cell>
        </row>
        <row r="240">
          <cell r="A240" t="str">
            <v>VENEZUELA</v>
          </cell>
        </row>
        <row r="241">
          <cell r="A241" t="str">
            <v>VIET NAM</v>
          </cell>
        </row>
        <row r="242">
          <cell r="A242" t="str">
            <v>VIRGIN ISLANDS</v>
          </cell>
        </row>
        <row r="243">
          <cell r="A243" t="str">
            <v>WALLIS AND FUTUNA</v>
          </cell>
        </row>
        <row r="244">
          <cell r="A244" t="str">
            <v>WESTERN SAHARA</v>
          </cell>
        </row>
        <row r="245">
          <cell r="A245" t="str">
            <v>YEMEN</v>
          </cell>
        </row>
        <row r="246">
          <cell r="A246" t="str">
            <v>ZAMBIA</v>
          </cell>
        </row>
        <row r="247">
          <cell r="A247" t="str">
            <v>ZIMBABWE</v>
          </cell>
        </row>
      </sheetData>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Investor Details"/>
      <sheetName val="Error"/>
      <sheetName val="Sheet3"/>
      <sheetName val="Country_State_District_Mapping"/>
    </sheetNames>
    <sheetDataSet>
      <sheetData sheetId="0" refreshError="1"/>
      <sheetData sheetId="1" refreshError="1"/>
      <sheetData sheetId="2" refreshError="1"/>
      <sheetData sheetId="3">
        <row r="2">
          <cell r="AS2" t="str">
            <v>YES</v>
          </cell>
        </row>
        <row r="3">
          <cell r="AS3" t="str">
            <v>NO</v>
          </cell>
        </row>
      </sheetData>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Investor Details"/>
      <sheetName val="Error"/>
      <sheetName val="Sheet3"/>
      <sheetName val="Country_State_District_Mapping"/>
    </sheetNames>
    <sheetDataSet>
      <sheetData sheetId="0" refreshError="1"/>
      <sheetData sheetId="1" refreshError="1"/>
      <sheetData sheetId="2" refreshError="1"/>
      <sheetData sheetId="3">
        <row r="2">
          <cell r="A2" t="str">
            <v>INDIA</v>
          </cell>
          <cell r="AN2" t="str">
            <v>Amount for unclaimed and unpaid dividend</v>
          </cell>
        </row>
        <row r="3">
          <cell r="AN3" t="str">
            <v>Amount for matured deposits</v>
          </cell>
        </row>
        <row r="4">
          <cell r="AN4" t="str">
            <v>Amount for matured debentures</v>
          </cell>
        </row>
        <row r="5">
          <cell r="AN5" t="str">
            <v>Amount for application money due for refund</v>
          </cell>
        </row>
        <row r="6">
          <cell r="AN6" t="str">
            <v>Interest on matured debentures</v>
          </cell>
        </row>
        <row r="7">
          <cell r="AN7" t="str">
            <v>Interest on matured deposits</v>
          </cell>
        </row>
        <row r="8">
          <cell r="AN8" t="str">
            <v>Interest on application money due for refund</v>
          </cell>
        </row>
        <row r="9">
          <cell r="AN9" t="str">
            <v>Redemption amount of preference shares</v>
          </cell>
        </row>
        <row r="10">
          <cell r="AN10" t="str">
            <v>Sales proceed for fractional shares</v>
          </cell>
        </row>
      </sheetData>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search.recoversy.in/result/?ID=eyJmaXJzdF9uYW1lIjoiQ0FXQVNKSSIsIm1pZGRsZV9uYW1lIjoiTlVTU0VSV0FOSkkiLCJsYXN0X25hbWUiOiJQQVRVQ0siLCJyZWNvdmVyeV92YWx1ZXMiOiI4ODA3NTUwIiwiaWQiOiIyOTEyNTQ2Iiwic3RhdGUiOiJNQUhBUkFTSFRSQSJ9" TargetMode="External"/><Relationship Id="rId13" Type="http://schemas.openxmlformats.org/officeDocument/2006/relationships/hyperlink" Target="https://search.recoversy.in/result/?ID=eyJmaXJzdF9uYW1lIjoiUk9CRVJURSIsIm1pZGRsZV9uYW1lIjoiQ0FXQVNKSSIsImxhc3RfbmFtZSI6IlBBVFVDSyIsInJlY292ZXJ5X3ZhbHVlcyI6IjEyODEwMCIsImlkIjoiMTU0MTgxNyIsInN0YXRlIjoiTUFIQVJBU0hUUkEifQ==" TargetMode="External"/><Relationship Id="rId18" Type="http://schemas.openxmlformats.org/officeDocument/2006/relationships/hyperlink" Target="https://search.recoversy.in/result/?ID=eyJmaXJzdF9uYW1lIjoiUk9CRVJURSIsIm1pZGRsZV9uYW1lIjoiQ0FXQVNKSSIsImxhc3RfbmFtZSI6IlBBVFVDSyIsInJlY292ZXJ5X3ZhbHVlcyI6Ijg4NzAwIiwiaWQiOiIxMjU0NzMyIiwic3RhdGUiOiJNQUhBUkFTSFRSQSJ9" TargetMode="External"/><Relationship Id="rId26" Type="http://schemas.openxmlformats.org/officeDocument/2006/relationships/hyperlink" Target="https://search.recoversy.in/result/?ID=eyJmaXJzdF9uYW1lIjoiQ0FXQVNKSSIsIm1pZGRsZV9uYW1lIjoiTkFTU0VSV0FOSkkiLCJsYXN0X25hbWUiOiJQQVRVQ0siLCJyZWNvdmVyeV92YWx1ZXMiOiIyNjA2OTAiLCJpZCI6IjUxNjUzMzAiLCJzdGF0ZSI6Ik1BSEFSQVNIVFJBIn0=" TargetMode="External"/><Relationship Id="rId3" Type="http://schemas.openxmlformats.org/officeDocument/2006/relationships/hyperlink" Target="https://search.recoversy.in/result/?ID=eyJmaXJzdF9uYW1lIjoiU0FSQUgiLCJtaWRkbGVfbmFtZSI6IkNBV0FTSkkiLCJsYXN0X25hbWUiOiJQQVRVQ0siLCJyZWNvdmVyeV92YWx1ZXMiOiIxOTgyNDAiLCJpZCI6IjI5Mzk4NTAiLCJzdGF0ZSI6Ik1BSEFSQVNIVFJBIn0=" TargetMode="External"/><Relationship Id="rId21" Type="http://schemas.openxmlformats.org/officeDocument/2006/relationships/hyperlink" Target="https://search.recoversy.in/result/?ID=eyJmaXJzdF9uYW1lIjoiUk9CRVJURSIsIm1pZGRsZV9uYW1lIjoiQ0FXQVNKSSIsImxhc3RfbmFtZSI6IlBBVFVDSyIsInJlY292ZXJ5X3ZhbHVlcyI6IjEwMjU0NDAiLCJpZCI6IjYxNDQ5MyIsInN0YXRlIjoiTUFIQVJBU0hUUkEifQ==" TargetMode="External"/><Relationship Id="rId7" Type="http://schemas.openxmlformats.org/officeDocument/2006/relationships/hyperlink" Target="https://search.recoversy.in/result/?ID=eyJmaXJzdF9uYW1lIjoiQ0FXQVNKSSIsIm1pZGRsZV9uYW1lIjoiTlVTU0VSV0FOSkkiLCJsYXN0X25hbWUiOiJQQVRVQ0siLCJyZWNvdmVyeV92YWx1ZXMiOiI4ODA3NTUwIiwiaWQiOiIyOTEyNTQ2Iiwic3RhdGUiOiJNQUhBUkFTSFRSQSJ9" TargetMode="External"/><Relationship Id="rId12" Type="http://schemas.openxmlformats.org/officeDocument/2006/relationships/hyperlink" Target="https://search.recoversy.in/result/?ID=eyJmaXJzdF9uYW1lIjoiQ0FXQVNKSSIsIm1pZGRsZV9uYW1lIjoiTlVTU0VSV0FOSkkiLCJsYXN0X25hbWUiOiJQQVRVQ0siLCJyZWNvdmVyeV92YWx1ZXMiOiIxNjkwMDgwIiwiaWQiOiI1MTMyNzM4Iiwic3RhdGUiOiJNQUhBUkFTSFRSQSJ9" TargetMode="External"/><Relationship Id="rId17" Type="http://schemas.openxmlformats.org/officeDocument/2006/relationships/hyperlink" Target="https://search.recoversy.in/result/?ID=eyJmaXJzdF9uYW1lIjoiUk9CRVJURSIsIm1pZGRsZV9uYW1lIjoiQ0FXQVNKSSIsImxhc3RfbmFtZSI6IlBBVFVDSyIsInJlY292ZXJ5X3ZhbHVlcyI6Ijg4NzAwIiwiaWQiOiIxMjU0NzMyIiwic3RhdGUiOiJNQUhBUkFTSFRSQSJ9" TargetMode="External"/><Relationship Id="rId25" Type="http://schemas.openxmlformats.org/officeDocument/2006/relationships/hyperlink" Target="https://search.recoversy.in/result/?ID=eyJmaXJzdF9uYW1lIjoiQ0FXQVNKSSIsIm1pZGRsZV9uYW1lIjoiTkFTU0VSV0FOSkkiLCJsYXN0X25hbWUiOiJQQVRVQ0siLCJyZWNvdmVyeV92YWx1ZXMiOiIyNjA2OTAiLCJpZCI6IjUxNjUzMzAiLCJzdGF0ZSI6Ik1BSEFSQVNIVFJBIn0=" TargetMode="External"/><Relationship Id="rId2" Type="http://schemas.openxmlformats.org/officeDocument/2006/relationships/hyperlink" Target="https://search.recoversy.in/result/?ID=eyJmaXJzdF9uYW1lIjoiU0hFSFJBIiwibWlkZGxlX25hbWUiOiJDQVdBU0pJIiwibGFzdF9uYW1lIjoiUEFUVUNLIiwicmVjb3ZlcnlfdmFsdWVzIjoiMTk4MjQwIiwiaWQiOiIyOTM5ODU1Iiwic3RhdGUiOiJNQUhBUkFTSFRSQSJ9" TargetMode="External"/><Relationship Id="rId16" Type="http://schemas.openxmlformats.org/officeDocument/2006/relationships/hyperlink" Target="https://search.recoversy.in/result/?ID=eyJmaXJzdF9uYW1lIjoiQ0FXQVNKSSIsIm1pZGRsZV9uYW1lIjoiTlVTU0VSV0FOSkkiLCJsYXN0X25hbWUiOiJQQVRVQ0siLCJyZWNvdmVyeV92YWx1ZXMiOiIyNzgxNjAiLCJpZCI6IjE1Mzk0MTYiLCJzdGF0ZSI6Ik1BSEFSQVNIVFJBIn0=" TargetMode="External"/><Relationship Id="rId20" Type="http://schemas.openxmlformats.org/officeDocument/2006/relationships/hyperlink" Target="https://search.recoversy.in/result/?ID=eyJmaXJzdF9uYW1lIjoiUk9CRVJURSIsIm1pZGRsZV9uYW1lIjoiQ0FXQVNKSSIsImxhc3RfbmFtZSI6IlBBVFVDSyIsInJlY292ZXJ5X3ZhbHVlcyI6IjI0NzUyMCIsImlkIjoiNjE1ODg4Iiwic3RhdGUiOiJNQUhBUkFTSFRSQSJ9" TargetMode="External"/><Relationship Id="rId29" Type="http://schemas.openxmlformats.org/officeDocument/2006/relationships/hyperlink" Target="https://search.recoversy.in/result/?ID=eyJmaXJzdF9uYW1lIjoiU09PTkkiLCJtaWRkbGVfbmFtZSI6IkNBV0FTSkkiLCJsYXN0X25hbWUiOiJQQVRVQ0siLCJyZWNvdmVyeV92YWx1ZXMiOiIxODQ0MzQwIiwiaWQiOiIxNTA2NzMiLCJzdGF0ZSI6Ik1BSEFSQVNIVFJBIn0=" TargetMode="External"/><Relationship Id="rId1" Type="http://schemas.openxmlformats.org/officeDocument/2006/relationships/hyperlink" Target="https://search.recoversy.in/result/?ID=eyJmaXJzdF9uYW1lIjoiU0hFSFJBIiwibWlkZGxlX25hbWUiOiJDQVdBU0pJIiwibGFzdF9uYW1lIjoiUEFUVUNLIiwicmVjb3ZlcnlfdmFsdWVzIjoiMTk4MjQwIiwiaWQiOiIyOTM5ODU1Iiwic3RhdGUiOiJNQUhBUkFTSFRSQSJ9" TargetMode="External"/><Relationship Id="rId6" Type="http://schemas.openxmlformats.org/officeDocument/2006/relationships/hyperlink" Target="https://search.recoversy.in/result/?ID=eyJmaXJzdF9uYW1lIjoiQ0FXQVNKSSIsIm1pZGRsZV9uYW1lIjoiTlVTU0VSV0FOSkkiLCJsYXN0X25hbWUiOiJQQVRVQ0siLCJyZWNvdmVyeV92YWx1ZXMiOiIzNjE3ODgwIiwiaWQiOiIyOTM3NDQzIiwic3RhdGUiOiJNQUhBUkFTSFRSQSJ9" TargetMode="External"/><Relationship Id="rId11" Type="http://schemas.openxmlformats.org/officeDocument/2006/relationships/hyperlink" Target="https://search.recoversy.in/result/?ID=eyJmaXJzdF9uYW1lIjoiQ0FXQVNKSSIsIm1pZGRsZV9uYW1lIjoiTlVTU0VSV0FOSkkiLCJsYXN0X25hbWUiOiJQQVRVQ0siLCJyZWNvdmVyeV92YWx1ZXMiOiIxNjkwMDgwIiwiaWQiOiI1MTMyNzM4Iiwic3RhdGUiOiJNQUhBUkFTSFRSQSJ9" TargetMode="External"/><Relationship Id="rId24" Type="http://schemas.openxmlformats.org/officeDocument/2006/relationships/hyperlink" Target="https://search.recoversy.in/result/?ID=eyJmaXJzdF9uYW1lIjoiU09PTkkiLCJtaWRkbGVfbmFtZSI6IkNBV0FTSkkiLCJsYXN0X25hbWUiOiJQQVRVQ0siLCJyZWNvdmVyeV92YWx1ZXMiOiIxODQ0MzQwIiwiaWQiOiIxNTA2NzMiLCJzdGF0ZSI6Ik1BSEFSQVNIVFJBIn0=" TargetMode="External"/><Relationship Id="rId32" Type="http://schemas.openxmlformats.org/officeDocument/2006/relationships/hyperlink" Target="https://search.recoversy.in/result/?ID=eyJmaXJzdF9uYW1lIjoiSkVST08iLCJtaWRkbGVfbmFtZSI6IklOREVSIiwibGFzdF9uYW1lIjoiREVXQU4iLCJyZWNvdmVyeV92YWx1ZXMiOiI1Mzg0MTAwIiwiaWQiOiIyOTM4MDI4Iiwic3RhdGUiOiJNQUhBUkFTSFRSQSJ9" TargetMode="External"/><Relationship Id="rId5" Type="http://schemas.openxmlformats.org/officeDocument/2006/relationships/hyperlink" Target="https://search.recoversy.in/result/?ID=eyJmaXJzdF9uYW1lIjoiQ0FXQVNKSSIsIm1pZGRsZV9uYW1lIjoiTlVTU0VSV0FOSkkiLCJsYXN0X25hbWUiOiJQQVRVQ0siLCJyZWNvdmVyeV92YWx1ZXMiOiIzNjE3ODgwIiwiaWQiOiIyOTM3NDQzIiwic3RhdGUiOiJNQUhBUkFTSFRSQSJ9" TargetMode="External"/><Relationship Id="rId15" Type="http://schemas.openxmlformats.org/officeDocument/2006/relationships/hyperlink" Target="https://search.recoversy.in/result/?ID=eyJmaXJzdF9uYW1lIjoiQ0FXQVNKSSIsIm1pZGRsZV9uYW1lIjoiTlVTU0VSV0FOSkkiLCJsYXN0X25hbWUiOiJQQVRVQ0siLCJyZWNvdmVyeV92YWx1ZXMiOiIyNzgxNjAiLCJpZCI6IjE1Mzk0MTYiLCJzdGF0ZSI6Ik1BSEFSQVNIVFJBIn0=" TargetMode="External"/><Relationship Id="rId23" Type="http://schemas.openxmlformats.org/officeDocument/2006/relationships/hyperlink" Target="https://search.recoversy.in/result/?ID=eyJmaXJzdF9uYW1lIjoiU09PTkkiLCJtaWRkbGVfbmFtZSI6IkNBV0FTSkkiLCJsYXN0X25hbWUiOiJQQVRVQ0siLCJyZWNvdmVyeV92YWx1ZXMiOiIxODQ0MzQwIiwiaWQiOiIxNTA2NzMiLCJzdGF0ZSI6Ik1BSEFSQVNIVFJBIn0=" TargetMode="External"/><Relationship Id="rId28" Type="http://schemas.openxmlformats.org/officeDocument/2006/relationships/hyperlink" Target="https://search.recoversy.in/result/?ID=eyJmaXJzdF9uYW1lIjoiU09PTkkiLCJtaWRkbGVfbmFtZSI6IkNBV0FTSkkiLCJsYXN0X25hbWUiOiJQQVRVQ0siLCJyZWNvdmVyeV92YWx1ZXMiOiIxMDk2MTYwIiwiaWQiOiIyOTU2Mjg2Iiwic3RhdGUiOiJNQUhBUkFTSFRSQSJ9" TargetMode="External"/><Relationship Id="rId10" Type="http://schemas.openxmlformats.org/officeDocument/2006/relationships/hyperlink" Target="https://search.recoversy.in/result/?ID=eyJmaXJzdF9uYW1lIjoiU0hFSFJBIiwibWlkZGxlX25hbWUiOiJDQVdBU0pJIiwibGFzdF9uYW1lIjoiUEFUVUNLIiwicmVjb3ZlcnlfdmFsdWVzIjoiMzUwNjEwMCIsImlkIjoiMjgyMTcwNCIsInN0YXRlIjoiTUFIQVJBU0hUUkEifQ==" TargetMode="External"/><Relationship Id="rId19" Type="http://schemas.openxmlformats.org/officeDocument/2006/relationships/hyperlink" Target="https://search.recoversy.in/result/?ID=eyJmaXJzdF9uYW1lIjoiUk9CRVJURSIsIm1pZGRsZV9uYW1lIjoiQ0FXQVNKSSIsImxhc3RfbmFtZSI6IlBBVFVDSyIsInJlY292ZXJ5X3ZhbHVlcyI6IjI0NzUyMCIsImlkIjoiNjE1ODg4Iiwic3RhdGUiOiJNQUhBUkFTSFRSQSJ9" TargetMode="External"/><Relationship Id="rId31" Type="http://schemas.openxmlformats.org/officeDocument/2006/relationships/hyperlink" Target="https://search.recoversy.in/result/?ID=eyJmaXJzdF9uYW1lIjoiSkVST08iLCJtaWRkbGVfbmFtZSI6IklOREVSIiwibGFzdF9uYW1lIjoiREVXQU4iLCJyZWNvdmVyeV92YWx1ZXMiOiI1Mzg0MTAwIiwiaWQiOiIyOTM4MDI4Iiwic3RhdGUiOiJNQUhBUkFTSFRSQSJ9" TargetMode="External"/><Relationship Id="rId4" Type="http://schemas.openxmlformats.org/officeDocument/2006/relationships/hyperlink" Target="https://search.recoversy.in/result/?ID=eyJmaXJzdF9uYW1lIjoiU0FSQUgiLCJtaWRkbGVfbmFtZSI6IkNBV0FTSkkiLCJsYXN0X25hbWUiOiJQQVRVQ0siLCJyZWNvdmVyeV92YWx1ZXMiOiIxOTgyNDAiLCJpZCI6IjI5Mzk4NTAiLCJzdGF0ZSI6Ik1BSEFSQVNIVFJBIn0=" TargetMode="External"/><Relationship Id="rId9" Type="http://schemas.openxmlformats.org/officeDocument/2006/relationships/hyperlink" Target="https://search.recoversy.in/result/?ID=eyJmaXJzdF9uYW1lIjoiU0hFSFJBIiwibWlkZGxlX25hbWUiOiJDQVdBU0pJIiwibGFzdF9uYW1lIjoiUEFUVUNLIiwicmVjb3ZlcnlfdmFsdWVzIjoiMzUwNjEwMCIsImlkIjoiMjgyMTcwNCIsInN0YXRlIjoiTUFIQVJBU0hUUkEifQ==" TargetMode="External"/><Relationship Id="rId14" Type="http://schemas.openxmlformats.org/officeDocument/2006/relationships/hyperlink" Target="https://search.recoversy.in/result/?ID=eyJmaXJzdF9uYW1lIjoiUk9CRVJURSIsIm1pZGRsZV9uYW1lIjoiQ0FXQVNKSSIsImxhc3RfbmFtZSI6IlBBVFVDSyIsInJlY292ZXJ5X3ZhbHVlcyI6IjEyODEwMCIsImlkIjoiMTU0MTgxNyIsInN0YXRlIjoiTUFIQVJBU0hUUkEifQ==" TargetMode="External"/><Relationship Id="rId22" Type="http://schemas.openxmlformats.org/officeDocument/2006/relationships/hyperlink" Target="https://search.recoversy.in/result/?ID=eyJmaXJzdF9uYW1lIjoiUk9CRVJURSIsIm1pZGRsZV9uYW1lIjoiQ0FXQVNKSSIsImxhc3RfbmFtZSI6IlBBVFVDSyIsInJlY292ZXJ5X3ZhbHVlcyI6IjEwMjU0NDAiLCJpZCI6IjYxNDQ5MyIsInN0YXRlIjoiTUFIQVJBU0hUUkEifQ==" TargetMode="External"/><Relationship Id="rId27" Type="http://schemas.openxmlformats.org/officeDocument/2006/relationships/hyperlink" Target="https://search.recoversy.in/result/?ID=eyJmaXJzdF9uYW1lIjoiU09PTkkiLCJtaWRkbGVfbmFtZSI6IkNBV0FTSkkiLCJsYXN0X25hbWUiOiJQQVRVQ0siLCJyZWNvdmVyeV92YWx1ZXMiOiIxMDk2MTYwIiwiaWQiOiIyOTU2Mjg2Iiwic3RhdGUiOiJNQUhBUkFTSFRSQSJ9" TargetMode="External"/><Relationship Id="rId30" Type="http://schemas.openxmlformats.org/officeDocument/2006/relationships/hyperlink" Target="https://search.recoversy.in/result/?ID=eyJmaXJzdF9uYW1lIjoiU09PTkkiLCJtaWRkbGVfbmFtZSI6IkNBV0FTSkkiLCJsYXN0X25hbWUiOiJQQVRVQ0siLCJyZWNvdmVyeV92YWx1ZXMiOiIxODQ0MzQwIiwiaWQiOiIxNTA2NzMiLCJzdGF0ZSI6Ik1BSEFSQVNIVFJBIn0=" TargetMode="External"/></Relationships>
</file>

<file path=xl/worksheets/_rels/sheet4.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ontrol" Target="../activeX/activeX3.xml"/><Relationship Id="rId5" Type="http://schemas.openxmlformats.org/officeDocument/2006/relationships/control" Target="../activeX/activeX2.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P81"/>
  <sheetViews>
    <sheetView workbookViewId="0">
      <selection activeCell="H15" sqref="H15"/>
    </sheetView>
  </sheetViews>
  <sheetFormatPr defaultRowHeight="15"/>
  <cols>
    <col min="5" max="5" width="16.7109375" customWidth="1"/>
    <col min="12" max="12" width="12.140625" bestFit="1" customWidth="1"/>
  </cols>
  <sheetData>
    <row r="2" spans="1:13">
      <c r="A2" s="27" t="s">
        <v>242</v>
      </c>
    </row>
    <row r="3" spans="1:13">
      <c r="A3" s="27" t="s">
        <v>241</v>
      </c>
      <c r="B3" s="27"/>
      <c r="C3" s="27"/>
      <c r="D3" s="27"/>
      <c r="E3" s="27"/>
      <c r="F3" s="27"/>
      <c r="G3" s="27"/>
      <c r="H3" s="27"/>
      <c r="I3" s="27"/>
      <c r="J3" s="27"/>
      <c r="K3" s="27"/>
      <c r="L3" s="27"/>
      <c r="M3" s="27"/>
    </row>
    <row r="4" spans="1:13">
      <c r="A4" s="27" t="s">
        <v>243</v>
      </c>
      <c r="B4" s="27"/>
      <c r="C4" s="27"/>
      <c r="D4" s="27"/>
      <c r="E4" s="27"/>
      <c r="F4" s="27"/>
      <c r="G4" s="27"/>
      <c r="H4" s="27"/>
      <c r="I4" s="27"/>
      <c r="J4" s="27"/>
      <c r="K4" s="27"/>
      <c r="L4" s="27"/>
      <c r="M4" s="27"/>
    </row>
    <row r="5" spans="1:13">
      <c r="A5" s="89" t="s">
        <v>246</v>
      </c>
      <c r="B5" s="20" t="s">
        <v>18</v>
      </c>
      <c r="C5" s="20" t="s">
        <v>20</v>
      </c>
      <c r="D5" s="21" t="s">
        <v>247</v>
      </c>
      <c r="E5" s="20"/>
      <c r="F5" s="20">
        <v>930</v>
      </c>
      <c r="G5" s="20" t="s">
        <v>248</v>
      </c>
    </row>
    <row r="6" spans="1:13">
      <c r="A6" s="89" t="s">
        <v>249</v>
      </c>
      <c r="B6" s="20" t="s">
        <v>20</v>
      </c>
      <c r="C6" s="20"/>
      <c r="D6" s="21" t="s">
        <v>250</v>
      </c>
      <c r="E6" s="20"/>
      <c r="F6" s="20">
        <v>905</v>
      </c>
      <c r="G6" s="20" t="s">
        <v>248</v>
      </c>
    </row>
    <row r="7" spans="1:13">
      <c r="A7" s="22"/>
      <c r="B7" s="22"/>
      <c r="C7" s="22"/>
      <c r="D7" s="23"/>
      <c r="E7" s="22"/>
      <c r="F7" s="22"/>
      <c r="G7" s="22"/>
    </row>
    <row r="8" spans="1:13">
      <c r="A8" s="27" t="s">
        <v>245</v>
      </c>
    </row>
    <row r="9" spans="1:13">
      <c r="A9" s="27" t="s">
        <v>244</v>
      </c>
    </row>
    <row r="12" spans="1:13">
      <c r="A12" t="s">
        <v>252</v>
      </c>
    </row>
    <row r="13" spans="1:13">
      <c r="A13" s="27" t="s">
        <v>251</v>
      </c>
      <c r="B13" s="27"/>
      <c r="C13" s="27"/>
      <c r="D13" s="27"/>
      <c r="E13" s="27"/>
      <c r="F13" s="27"/>
      <c r="G13" s="27"/>
      <c r="H13" s="27"/>
      <c r="I13" s="27"/>
      <c r="J13" s="27"/>
      <c r="K13" s="27"/>
      <c r="L13" s="27"/>
      <c r="M13" s="27"/>
    </row>
    <row r="14" spans="1:13">
      <c r="A14" s="27" t="s">
        <v>253</v>
      </c>
      <c r="B14" s="27"/>
      <c r="C14" s="27"/>
      <c r="D14" s="27"/>
      <c r="E14" s="27"/>
      <c r="F14" s="27"/>
      <c r="G14" s="27"/>
      <c r="H14" s="27"/>
      <c r="I14" s="27"/>
      <c r="J14" s="27"/>
      <c r="K14" s="27"/>
      <c r="L14" s="27"/>
      <c r="M14" s="27"/>
    </row>
    <row r="16" spans="1:13">
      <c r="A16" s="27" t="s">
        <v>255</v>
      </c>
      <c r="B16" s="27"/>
      <c r="C16" s="27"/>
      <c r="D16" s="27"/>
    </row>
    <row r="17" spans="1:7">
      <c r="A17" s="27" t="s">
        <v>254</v>
      </c>
      <c r="B17" s="27"/>
      <c r="C17" s="27"/>
      <c r="D17" s="27"/>
    </row>
    <row r="18" spans="1:7">
      <c r="A18" s="27" t="s">
        <v>256</v>
      </c>
      <c r="B18" s="27"/>
      <c r="C18" s="27"/>
      <c r="D18" s="27"/>
    </row>
    <row r="19" spans="1:7">
      <c r="A19" s="27" t="s">
        <v>257</v>
      </c>
      <c r="B19" s="27"/>
      <c r="C19" s="27"/>
      <c r="D19" s="27"/>
    </row>
    <row r="20" spans="1:7">
      <c r="A20" s="27" t="s">
        <v>258</v>
      </c>
      <c r="B20" s="27"/>
      <c r="C20" s="27"/>
      <c r="D20" s="27"/>
    </row>
    <row r="21" spans="1:7">
      <c r="A21" s="27" t="s">
        <v>437</v>
      </c>
    </row>
    <row r="22" spans="1:7">
      <c r="A22" s="27" t="s">
        <v>438</v>
      </c>
    </row>
    <row r="23" spans="1:7">
      <c r="A23" s="92" t="s">
        <v>397</v>
      </c>
      <c r="B23" s="92"/>
      <c r="C23" s="92"/>
      <c r="D23" s="92"/>
      <c r="E23" s="93" t="s">
        <v>467</v>
      </c>
      <c r="F23" s="94">
        <v>1760</v>
      </c>
      <c r="G23" s="36"/>
    </row>
    <row r="24" spans="1:7">
      <c r="A24" s="28"/>
      <c r="B24" s="28"/>
      <c r="C24" s="28"/>
      <c r="D24" s="28"/>
      <c r="E24" s="91"/>
      <c r="F24" s="38"/>
    </row>
    <row r="25" spans="1:7">
      <c r="A25" t="s">
        <v>259</v>
      </c>
    </row>
    <row r="26" spans="1:7" s="27" customFormat="1">
      <c r="A26" s="27" t="s">
        <v>231</v>
      </c>
    </row>
    <row r="27" spans="1:7">
      <c r="A27" t="s">
        <v>260</v>
      </c>
    </row>
    <row r="28" spans="1:7">
      <c r="A28" t="s">
        <v>261</v>
      </c>
    </row>
    <row r="29" spans="1:7">
      <c r="A29" s="27" t="s">
        <v>262</v>
      </c>
    </row>
    <row r="30" spans="1:7">
      <c r="A30" s="27" t="s">
        <v>263</v>
      </c>
    </row>
    <row r="31" spans="1:7">
      <c r="A31" s="27" t="s">
        <v>264</v>
      </c>
    </row>
    <row r="32" spans="1:7">
      <c r="A32" s="27" t="s">
        <v>439</v>
      </c>
    </row>
    <row r="33" spans="1:10">
      <c r="A33" s="27" t="s">
        <v>440</v>
      </c>
    </row>
    <row r="34" spans="1:10">
      <c r="A34" s="27" t="s">
        <v>441</v>
      </c>
    </row>
    <row r="35" spans="1:10">
      <c r="A35" s="92" t="s">
        <v>397</v>
      </c>
      <c r="B35" s="92"/>
      <c r="C35" s="92"/>
      <c r="D35" s="92"/>
      <c r="E35" s="93" t="s">
        <v>470</v>
      </c>
      <c r="F35" s="93">
        <v>1500</v>
      </c>
    </row>
    <row r="36" spans="1:10">
      <c r="A36" s="92" t="s">
        <v>397</v>
      </c>
      <c r="B36" s="92"/>
      <c r="C36" s="92"/>
      <c r="D36" s="92"/>
      <c r="E36" s="93" t="s">
        <v>467</v>
      </c>
      <c r="F36" s="93">
        <v>2750</v>
      </c>
    </row>
    <row r="38" spans="1:10">
      <c r="A38" t="s">
        <v>265</v>
      </c>
    </row>
    <row r="39" spans="1:10" s="27" customFormat="1">
      <c r="A39" s="27" t="s">
        <v>233</v>
      </c>
    </row>
    <row r="40" spans="1:10">
      <c r="A40" s="27" t="s">
        <v>266</v>
      </c>
      <c r="B40" s="27"/>
      <c r="C40" s="27"/>
      <c r="D40" s="27"/>
      <c r="E40" s="27"/>
      <c r="F40" s="27"/>
      <c r="G40" s="27"/>
      <c r="H40" s="27"/>
      <c r="I40" s="27"/>
      <c r="J40" s="27"/>
    </row>
    <row r="41" spans="1:10">
      <c r="A41" s="27" t="s">
        <v>267</v>
      </c>
      <c r="B41" s="27"/>
      <c r="C41" s="27"/>
      <c r="D41" s="27"/>
      <c r="E41" s="27"/>
      <c r="F41" s="27"/>
      <c r="G41" s="27"/>
      <c r="H41" s="27"/>
      <c r="I41" s="27"/>
      <c r="J41" s="27"/>
    </row>
    <row r="42" spans="1:10">
      <c r="A42" s="27" t="s">
        <v>268</v>
      </c>
      <c r="B42" s="27"/>
      <c r="C42" s="27"/>
      <c r="D42" s="27"/>
      <c r="E42" s="27"/>
      <c r="F42" s="27"/>
      <c r="G42" s="27"/>
      <c r="H42" s="27"/>
      <c r="I42" s="27"/>
      <c r="J42" s="27"/>
    </row>
    <row r="43" spans="1:10">
      <c r="A43" s="27" t="s">
        <v>269</v>
      </c>
      <c r="B43" s="27"/>
      <c r="C43" s="27"/>
      <c r="D43" s="27"/>
      <c r="E43" s="27"/>
      <c r="F43" s="27"/>
      <c r="G43" s="27"/>
      <c r="H43" s="27"/>
      <c r="I43" s="27"/>
      <c r="J43" s="27"/>
    </row>
    <row r="45" spans="1:10">
      <c r="A45" s="27" t="s">
        <v>270</v>
      </c>
    </row>
    <row r="46" spans="1:10">
      <c r="A46" s="27" t="s">
        <v>271</v>
      </c>
    </row>
    <row r="47" spans="1:10">
      <c r="A47" s="27" t="s">
        <v>272</v>
      </c>
    </row>
    <row r="48" spans="1:10">
      <c r="A48" s="27" t="s">
        <v>356</v>
      </c>
    </row>
    <row r="49" spans="1:6">
      <c r="A49" s="27" t="s">
        <v>442</v>
      </c>
    </row>
    <row r="50" spans="1:6">
      <c r="A50" s="36" t="s">
        <v>397</v>
      </c>
      <c r="E50" s="97" t="s">
        <v>467</v>
      </c>
      <c r="F50" s="97">
        <v>4860</v>
      </c>
    </row>
    <row r="51" spans="1:6">
      <c r="E51" s="96"/>
      <c r="F51" s="96"/>
    </row>
    <row r="52" spans="1:6">
      <c r="A52" t="s">
        <v>273</v>
      </c>
    </row>
    <row r="53" spans="1:6" s="27" customFormat="1">
      <c r="A53" s="27" t="s">
        <v>234</v>
      </c>
    </row>
    <row r="54" spans="1:6" s="27" customFormat="1">
      <c r="A54" s="27" t="s">
        <v>235</v>
      </c>
    </row>
    <row r="55" spans="1:6">
      <c r="A55" s="27" t="s">
        <v>274</v>
      </c>
    </row>
    <row r="56" spans="1:6">
      <c r="A56" s="27" t="s">
        <v>275</v>
      </c>
    </row>
    <row r="58" spans="1:6">
      <c r="A58" s="27" t="s">
        <v>277</v>
      </c>
    </row>
    <row r="59" spans="1:6">
      <c r="A59" s="27" t="s">
        <v>276</v>
      </c>
    </row>
    <row r="61" spans="1:6">
      <c r="A61" s="27" t="s">
        <v>279</v>
      </c>
    </row>
    <row r="62" spans="1:6">
      <c r="A62" s="27" t="s">
        <v>278</v>
      </c>
    </row>
    <row r="63" spans="1:6">
      <c r="A63" s="27" t="s">
        <v>443</v>
      </c>
    </row>
    <row r="65" spans="1:16">
      <c r="A65" t="s">
        <v>239</v>
      </c>
    </row>
    <row r="66" spans="1:16" s="39" customFormat="1">
      <c r="A66" s="98" t="s">
        <v>33</v>
      </c>
      <c r="D66" s="99" t="s">
        <v>280</v>
      </c>
      <c r="E66" s="100"/>
      <c r="F66" s="101">
        <v>280</v>
      </c>
      <c r="G66" s="98" t="s">
        <v>248</v>
      </c>
      <c r="H66" s="98"/>
      <c r="I66" s="98"/>
    </row>
    <row r="69" spans="1:16">
      <c r="A69" s="27" t="s">
        <v>245</v>
      </c>
    </row>
    <row r="70" spans="1:16">
      <c r="A70" s="90" t="s">
        <v>300</v>
      </c>
      <c r="B70" s="90" t="s">
        <v>301</v>
      </c>
      <c r="C70" s="90" t="s">
        <v>302</v>
      </c>
      <c r="D70" s="90" t="s">
        <v>21</v>
      </c>
      <c r="E70" s="90" t="s">
        <v>303</v>
      </c>
      <c r="F70" s="90" t="s">
        <v>303</v>
      </c>
      <c r="G70" s="90" t="s">
        <v>304</v>
      </c>
      <c r="H70" s="90" t="s">
        <v>23</v>
      </c>
      <c r="I70" s="90" t="s">
        <v>303</v>
      </c>
      <c r="J70" s="90" t="s">
        <v>303</v>
      </c>
      <c r="K70" s="90" t="s">
        <v>305</v>
      </c>
      <c r="L70" s="90" t="s">
        <v>306</v>
      </c>
      <c r="M70" s="90" t="s">
        <v>303</v>
      </c>
      <c r="N70" s="90" t="s">
        <v>307</v>
      </c>
      <c r="O70" s="90">
        <v>360</v>
      </c>
      <c r="P70" s="90" t="s">
        <v>308</v>
      </c>
    </row>
    <row r="71" spans="1:16">
      <c r="A71" s="27" t="s">
        <v>355</v>
      </c>
      <c r="B71" s="27"/>
      <c r="C71" s="27"/>
      <c r="D71" s="27"/>
      <c r="E71" s="27"/>
      <c r="F71" s="27"/>
      <c r="G71" s="27"/>
      <c r="H71" s="27"/>
      <c r="I71" s="27"/>
      <c r="J71" s="27"/>
      <c r="K71" s="27"/>
      <c r="L71" s="27"/>
      <c r="M71" s="27"/>
      <c r="N71" s="27"/>
      <c r="O71" s="27"/>
      <c r="P71" s="27"/>
    </row>
    <row r="73" spans="1:16">
      <c r="A73" s="27" t="s">
        <v>357</v>
      </c>
    </row>
    <row r="74" spans="1:16">
      <c r="A74" s="27" t="s">
        <v>358</v>
      </c>
    </row>
    <row r="76" spans="1:16">
      <c r="A76" s="27" t="s">
        <v>450</v>
      </c>
    </row>
    <row r="77" spans="1:16">
      <c r="A77" s="27" t="s">
        <v>448</v>
      </c>
    </row>
    <row r="78" spans="1:16">
      <c r="A78" s="27" t="s">
        <v>449</v>
      </c>
    </row>
    <row r="80" spans="1:16">
      <c r="A80" t="s">
        <v>452</v>
      </c>
    </row>
    <row r="81" spans="1:1">
      <c r="A81" s="27" t="s">
        <v>451</v>
      </c>
    </row>
  </sheetData>
  <dataValidations count="7">
    <dataValidation type="whole" allowBlank="1" showInputMessage="1" showErrorMessage="1" errorTitle="Number of Shares held" error="Please enter only 15 digits." sqref="F5:F7 F66 F35:F36" xr:uid="{00000000-0002-0000-0000-000000000000}">
      <formula1>0</formula1>
      <formula2>999999999999999</formula2>
    </dataValidation>
    <dataValidation type="textLength" operator="lessThanOrEqual" allowBlank="1" showInputMessage="1" showErrorMessage="1" errorTitle="First Name" error="Please enter the First Name less than or equal to 35 characters" sqref="A5:A7 A66 A35:A36" xr:uid="{00000000-0002-0000-0000-000001000000}">
      <formula1>35</formula1>
    </dataValidation>
    <dataValidation type="textLength" operator="lessThanOrEqual" allowBlank="1" showInputMessage="1" showErrorMessage="1" errorTitle="Middle Name" error="Please enter the Middle Name less than or equal to 35 characters" sqref="B5:B7 B66 B35:B36" xr:uid="{00000000-0002-0000-0000-000002000000}">
      <formula1>35</formula1>
    </dataValidation>
    <dataValidation type="textLength" operator="lessThanOrEqual" allowBlank="1" showInputMessage="1" showErrorMessage="1" errorTitle="Last Name" error="Please enter the Last Name less than or equal to 35 characters" sqref="C5:C7 C66 C35:C36" xr:uid="{00000000-0002-0000-0000-000003000000}">
      <formula1>35</formula1>
    </dataValidation>
    <dataValidation type="textLength" operator="lessThanOrEqual" allowBlank="1" showInputMessage="1" showErrorMessage="1" errorTitle="Folio Number" error="Please enter the Folio Number  less than or equal to 20 characters" sqref="D5:D7 D66 D35:D36" xr:uid="{00000000-0002-0000-0000-000004000000}">
      <formula1>20</formula1>
    </dataValidation>
    <dataValidation type="textLength" operator="lessThanOrEqual" allowBlank="1" showInputMessage="1" showErrorMessage="1" errorTitle="DP ID-Client Id Account Number" error="Please enter the DP ID-Client Id Account Number less than or equal to 60 characters" sqref="E5:E7 E66 E35:E36" xr:uid="{00000000-0002-0000-0000-000005000000}">
      <formula1>60</formula1>
    </dataValidation>
    <dataValidation type="list" allowBlank="1" showInputMessage="1" showErrorMessage="1" errorTitle="Invalid Selection" error="Please select a valid option from the drop down menu" sqref="G5:G7 G66" xr:uid="{00000000-0002-0000-0000-000006000000}">
      <formula1>classOfShares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35"/>
  <sheetViews>
    <sheetView topLeftCell="A151" workbookViewId="0">
      <selection activeCell="G168" sqref="G168"/>
    </sheetView>
  </sheetViews>
  <sheetFormatPr defaultRowHeight="15"/>
  <cols>
    <col min="1" max="1" width="30.7109375" customWidth="1"/>
    <col min="2" max="2" width="24.7109375" customWidth="1"/>
    <col min="3" max="3" width="24.42578125" customWidth="1"/>
    <col min="4" max="4" width="25.7109375" customWidth="1"/>
    <col min="5" max="5" width="21.42578125" bestFit="1" customWidth="1"/>
  </cols>
  <sheetData>
    <row r="1" spans="1:5" ht="15.75" thickBot="1">
      <c r="A1" s="10" t="s">
        <v>28</v>
      </c>
      <c r="B1" s="10" t="s">
        <v>29</v>
      </c>
      <c r="C1" s="10" t="s">
        <v>30</v>
      </c>
      <c r="D1" s="10" t="s">
        <v>31</v>
      </c>
      <c r="E1" s="10" t="s">
        <v>32</v>
      </c>
    </row>
    <row r="2" spans="1:5" ht="16.5" thickTop="1" thickBot="1">
      <c r="A2" s="19" t="s">
        <v>33</v>
      </c>
      <c r="B2" s="19" t="s">
        <v>34</v>
      </c>
      <c r="C2" s="19" t="s">
        <v>35</v>
      </c>
      <c r="D2" s="19">
        <v>1140</v>
      </c>
      <c r="E2" s="19" t="s">
        <v>202</v>
      </c>
    </row>
    <row r="3" spans="1:5" ht="15.75" thickBot="1">
      <c r="A3" s="11" t="s">
        <v>36</v>
      </c>
      <c r="B3" s="11" t="s">
        <v>37</v>
      </c>
      <c r="C3" s="11" t="s">
        <v>38</v>
      </c>
      <c r="D3" s="11">
        <v>326</v>
      </c>
      <c r="E3" s="11"/>
    </row>
    <row r="4" spans="1:5" ht="15.75" thickBot="1">
      <c r="A4" s="12" t="s">
        <v>36</v>
      </c>
      <c r="B4" s="12" t="s">
        <v>39</v>
      </c>
      <c r="C4" s="12" t="s">
        <v>40</v>
      </c>
      <c r="D4" s="12">
        <v>1200</v>
      </c>
      <c r="E4" s="12"/>
    </row>
    <row r="5" spans="1:5" ht="15.75" thickBot="1">
      <c r="A5" s="11" t="s">
        <v>41</v>
      </c>
      <c r="B5" s="11" t="s">
        <v>21</v>
      </c>
      <c r="C5" s="11" t="s">
        <v>42</v>
      </c>
      <c r="D5" s="11">
        <v>20</v>
      </c>
      <c r="E5" s="11"/>
    </row>
    <row r="6" spans="1:5" ht="15.75" thickBot="1">
      <c r="A6" s="12" t="s">
        <v>41</v>
      </c>
      <c r="B6" s="12" t="s">
        <v>33</v>
      </c>
      <c r="C6" s="12" t="s">
        <v>40</v>
      </c>
      <c r="D6" s="12">
        <v>2320</v>
      </c>
      <c r="E6" s="12"/>
    </row>
    <row r="7" spans="1:5" ht="15.75" thickBot="1">
      <c r="A7" s="11" t="s">
        <v>41</v>
      </c>
      <c r="B7" s="11" t="s">
        <v>33</v>
      </c>
      <c r="C7" s="11" t="s">
        <v>40</v>
      </c>
      <c r="D7" s="11">
        <v>560</v>
      </c>
      <c r="E7" s="11"/>
    </row>
    <row r="8" spans="1:5" ht="15.75" thickBot="1">
      <c r="A8" s="12" t="s">
        <v>41</v>
      </c>
      <c r="B8" s="12" t="s">
        <v>43</v>
      </c>
      <c r="C8" s="12" t="s">
        <v>35</v>
      </c>
      <c r="D8" s="12">
        <v>525</v>
      </c>
      <c r="E8" s="12"/>
    </row>
    <row r="9" spans="1:5" ht="15.75" thickBot="1">
      <c r="A9" s="11" t="s">
        <v>44</v>
      </c>
      <c r="B9" s="11" t="s">
        <v>21</v>
      </c>
      <c r="C9" s="11" t="s">
        <v>40</v>
      </c>
      <c r="D9" s="11">
        <v>400</v>
      </c>
      <c r="E9" s="11"/>
    </row>
    <row r="10" spans="1:5" ht="15.75" thickBot="1">
      <c r="A10" s="12" t="s">
        <v>45</v>
      </c>
      <c r="B10" s="12" t="s">
        <v>46</v>
      </c>
      <c r="C10" s="12" t="s">
        <v>35</v>
      </c>
      <c r="D10" s="12">
        <v>55</v>
      </c>
      <c r="E10" s="12"/>
    </row>
    <row r="11" spans="1:5" ht="15.75" thickBot="1">
      <c r="A11" s="11" t="s">
        <v>47</v>
      </c>
      <c r="B11" s="11" t="s">
        <v>48</v>
      </c>
      <c r="C11" s="11" t="s">
        <v>49</v>
      </c>
      <c r="D11" s="11">
        <v>1563</v>
      </c>
      <c r="E11" s="11"/>
    </row>
    <row r="12" spans="1:5" ht="15.75" thickBot="1">
      <c r="A12" s="12" t="s">
        <v>50</v>
      </c>
      <c r="B12" s="12" t="s">
        <v>51</v>
      </c>
      <c r="C12" s="12" t="s">
        <v>35</v>
      </c>
      <c r="D12" s="12">
        <v>80</v>
      </c>
      <c r="E12" s="12"/>
    </row>
    <row r="13" spans="1:5" ht="15.75" thickBot="1">
      <c r="A13" s="11" t="s">
        <v>52</v>
      </c>
      <c r="B13" s="11" t="s">
        <v>53</v>
      </c>
      <c r="C13" s="11" t="s">
        <v>54</v>
      </c>
      <c r="D13" s="11">
        <v>5</v>
      </c>
      <c r="E13" s="11"/>
    </row>
    <row r="14" spans="1:5" ht="15.75" thickBot="1">
      <c r="A14" s="12" t="s">
        <v>52</v>
      </c>
      <c r="B14" s="12" t="s">
        <v>53</v>
      </c>
      <c r="C14" s="12" t="s">
        <v>54</v>
      </c>
      <c r="D14" s="12">
        <v>5</v>
      </c>
      <c r="E14" s="12"/>
    </row>
    <row r="15" spans="1:5" ht="15.75" thickBot="1">
      <c r="A15" s="11" t="s">
        <v>55</v>
      </c>
      <c r="B15" s="11" t="s">
        <v>56</v>
      </c>
      <c r="C15" s="11" t="s">
        <v>57</v>
      </c>
      <c r="D15" s="11">
        <v>32</v>
      </c>
      <c r="E15" s="11"/>
    </row>
    <row r="16" spans="1:5" ht="15.75" thickBot="1">
      <c r="A16" s="12" t="s">
        <v>55</v>
      </c>
      <c r="B16" s="12" t="s">
        <v>56</v>
      </c>
      <c r="C16" s="12" t="s">
        <v>57</v>
      </c>
      <c r="D16" s="12">
        <v>32</v>
      </c>
      <c r="E16" s="12"/>
    </row>
    <row r="17" spans="1:5" ht="15.75" thickBot="1">
      <c r="A17" s="11" t="s">
        <v>58</v>
      </c>
      <c r="B17" s="11" t="s">
        <v>59</v>
      </c>
      <c r="C17" s="11" t="s">
        <v>60</v>
      </c>
      <c r="D17" s="11">
        <v>1</v>
      </c>
      <c r="E17" s="11"/>
    </row>
    <row r="18" spans="1:5" ht="15.75" thickBot="1">
      <c r="A18" s="12" t="s">
        <v>61</v>
      </c>
      <c r="B18" s="12" t="s">
        <v>21</v>
      </c>
      <c r="C18" s="12" t="s">
        <v>62</v>
      </c>
      <c r="D18" s="12">
        <v>15000</v>
      </c>
      <c r="E18" s="12"/>
    </row>
    <row r="19" spans="1:5" ht="15.75" thickBot="1">
      <c r="A19" s="11" t="s">
        <v>61</v>
      </c>
      <c r="B19" s="11" t="s">
        <v>63</v>
      </c>
      <c r="C19" s="11" t="s">
        <v>64</v>
      </c>
      <c r="D19" s="11">
        <v>176</v>
      </c>
      <c r="E19" s="11"/>
    </row>
    <row r="20" spans="1:5" ht="15.75" thickBot="1">
      <c r="A20" s="12" t="s">
        <v>65</v>
      </c>
      <c r="B20" s="12" t="s">
        <v>21</v>
      </c>
      <c r="C20" s="12" t="s">
        <v>49</v>
      </c>
      <c r="D20" s="12">
        <v>190</v>
      </c>
      <c r="E20" s="12"/>
    </row>
    <row r="21" spans="1:5" ht="15.75" thickBot="1">
      <c r="A21" s="12" t="s">
        <v>66</v>
      </c>
      <c r="B21" s="12" t="s">
        <v>67</v>
      </c>
      <c r="C21" s="12" t="s">
        <v>68</v>
      </c>
      <c r="D21" s="12">
        <v>630</v>
      </c>
      <c r="E21" s="12"/>
    </row>
    <row r="22" spans="1:5" ht="15.75" thickBot="1">
      <c r="A22" s="11" t="s">
        <v>69</v>
      </c>
      <c r="B22" s="11" t="s">
        <v>21</v>
      </c>
      <c r="C22" s="11" t="s">
        <v>70</v>
      </c>
      <c r="D22" s="11">
        <v>70</v>
      </c>
      <c r="E22" s="11"/>
    </row>
    <row r="23" spans="1:5" ht="15.75" thickBot="1">
      <c r="A23" s="12" t="s">
        <v>69</v>
      </c>
      <c r="B23" s="12" t="s">
        <v>21</v>
      </c>
      <c r="C23" s="12" t="s">
        <v>71</v>
      </c>
      <c r="D23" s="12">
        <v>175</v>
      </c>
      <c r="E23" s="12"/>
    </row>
    <row r="24" spans="1:5" ht="15.75" thickBot="1">
      <c r="A24" s="11" t="s">
        <v>72</v>
      </c>
      <c r="B24" s="11" t="s">
        <v>21</v>
      </c>
      <c r="C24" s="11" t="s">
        <v>73</v>
      </c>
      <c r="D24" s="11">
        <v>40</v>
      </c>
      <c r="E24" s="11"/>
    </row>
    <row r="25" spans="1:5" ht="15.75" thickBot="1">
      <c r="A25" s="12" t="s">
        <v>74</v>
      </c>
      <c r="B25" s="12" t="s">
        <v>21</v>
      </c>
      <c r="C25" s="12" t="s">
        <v>38</v>
      </c>
      <c r="D25" s="12">
        <v>1</v>
      </c>
      <c r="E25" s="12"/>
    </row>
    <row r="26" spans="1:5" ht="15.75" thickBot="1">
      <c r="A26" s="11" t="s">
        <v>75</v>
      </c>
      <c r="B26" s="11" t="s">
        <v>76</v>
      </c>
      <c r="C26" s="11" t="s">
        <v>77</v>
      </c>
      <c r="D26" s="11">
        <v>10</v>
      </c>
      <c r="E26" s="11"/>
    </row>
    <row r="27" spans="1:5" ht="15.75" thickBot="1">
      <c r="A27" s="12" t="s">
        <v>78</v>
      </c>
      <c r="B27" s="12" t="s">
        <v>19</v>
      </c>
      <c r="C27" s="12" t="s">
        <v>79</v>
      </c>
      <c r="D27" s="12">
        <v>11</v>
      </c>
      <c r="E27" s="12"/>
    </row>
    <row r="28" spans="1:5" ht="15.75" thickBot="1">
      <c r="A28" s="11" t="s">
        <v>80</v>
      </c>
      <c r="B28" s="11" t="s">
        <v>81</v>
      </c>
      <c r="C28" s="11" t="s">
        <v>82</v>
      </c>
      <c r="D28" s="11">
        <v>12</v>
      </c>
      <c r="E28" s="11"/>
    </row>
    <row r="29" spans="1:5" ht="15.75" thickBot="1">
      <c r="A29" s="12" t="s">
        <v>80</v>
      </c>
      <c r="B29" s="12" t="s">
        <v>81</v>
      </c>
      <c r="C29" s="12" t="s">
        <v>83</v>
      </c>
      <c r="D29" s="12">
        <v>2</v>
      </c>
      <c r="E29" s="12"/>
    </row>
    <row r="30" spans="1:5" ht="15.75" thickBot="1">
      <c r="A30" s="11" t="s">
        <v>84</v>
      </c>
      <c r="B30" s="11" t="s">
        <v>85</v>
      </c>
      <c r="C30" s="11" t="s">
        <v>42</v>
      </c>
      <c r="D30" s="11">
        <v>920</v>
      </c>
      <c r="E30" s="11"/>
    </row>
    <row r="31" spans="1:5" ht="15.75" thickBot="1">
      <c r="A31" s="12" t="s">
        <v>84</v>
      </c>
      <c r="B31" s="12" t="s">
        <v>19</v>
      </c>
      <c r="C31" s="12" t="s">
        <v>86</v>
      </c>
      <c r="D31" s="12">
        <v>160</v>
      </c>
      <c r="E31" s="12"/>
    </row>
    <row r="32" spans="1:5" ht="15.75" thickBot="1">
      <c r="A32" s="11" t="s">
        <v>84</v>
      </c>
      <c r="B32" s="11" t="s">
        <v>19</v>
      </c>
      <c r="C32" s="11" t="s">
        <v>86</v>
      </c>
      <c r="D32" s="11">
        <v>160</v>
      </c>
      <c r="E32" s="11"/>
    </row>
    <row r="33" spans="1:5" ht="15.75" thickBot="1">
      <c r="A33" s="12" t="s">
        <v>87</v>
      </c>
      <c r="B33" s="12" t="s">
        <v>88</v>
      </c>
      <c r="C33" s="12" t="s">
        <v>42</v>
      </c>
      <c r="D33" s="12">
        <v>20</v>
      </c>
      <c r="E33" s="12"/>
    </row>
    <row r="34" spans="1:5" ht="15.75" thickBot="1">
      <c r="A34" s="11" t="s">
        <v>89</v>
      </c>
      <c r="B34" s="11" t="s">
        <v>90</v>
      </c>
      <c r="C34" s="11" t="s">
        <v>91</v>
      </c>
      <c r="D34" s="11">
        <v>11</v>
      </c>
      <c r="E34" s="11"/>
    </row>
    <row r="35" spans="1:5" ht="15.75" thickBot="1">
      <c r="A35" s="12" t="s">
        <v>89</v>
      </c>
      <c r="B35" s="12" t="s">
        <v>90</v>
      </c>
      <c r="C35" s="12" t="s">
        <v>42</v>
      </c>
      <c r="D35" s="12">
        <v>40</v>
      </c>
      <c r="E35" s="12"/>
    </row>
    <row r="36" spans="1:5" ht="15.75" thickBot="1">
      <c r="A36" s="11" t="s">
        <v>89</v>
      </c>
      <c r="B36" s="11" t="s">
        <v>63</v>
      </c>
      <c r="C36" s="11" t="s">
        <v>64</v>
      </c>
      <c r="D36" s="11">
        <v>180</v>
      </c>
      <c r="E36" s="11"/>
    </row>
    <row r="37" spans="1:5" ht="15.75" thickBot="1">
      <c r="A37" s="12" t="s">
        <v>92</v>
      </c>
      <c r="B37" s="12" t="s">
        <v>21</v>
      </c>
      <c r="C37" s="12" t="s">
        <v>70</v>
      </c>
      <c r="D37" s="12">
        <v>10</v>
      </c>
      <c r="E37" s="12"/>
    </row>
    <row r="38" spans="1:5" ht="15.75" thickBot="1">
      <c r="A38" s="11" t="s">
        <v>93</v>
      </c>
      <c r="B38" s="11" t="s">
        <v>19</v>
      </c>
      <c r="C38" s="11" t="s">
        <v>94</v>
      </c>
      <c r="D38" s="11">
        <v>450</v>
      </c>
      <c r="E38" s="11"/>
    </row>
    <row r="39" spans="1:5" ht="15.75" thickBot="1">
      <c r="A39" s="12" t="s">
        <v>95</v>
      </c>
      <c r="B39" s="12" t="s">
        <v>56</v>
      </c>
      <c r="C39" s="12" t="s">
        <v>57</v>
      </c>
      <c r="D39" s="12">
        <v>36</v>
      </c>
      <c r="E39" s="12"/>
    </row>
    <row r="40" spans="1:5" ht="15.75" thickBot="1">
      <c r="A40" s="11" t="s">
        <v>96</v>
      </c>
      <c r="B40" s="11" t="s">
        <v>97</v>
      </c>
      <c r="C40" s="11" t="s">
        <v>60</v>
      </c>
      <c r="D40" s="11">
        <v>17</v>
      </c>
      <c r="E40" s="11"/>
    </row>
    <row r="41" spans="1:5" ht="15.75" thickBot="1">
      <c r="A41" s="12" t="s">
        <v>98</v>
      </c>
      <c r="B41" s="12" t="s">
        <v>19</v>
      </c>
      <c r="C41" s="12" t="s">
        <v>94</v>
      </c>
      <c r="D41" s="12">
        <v>900</v>
      </c>
      <c r="E41" s="12"/>
    </row>
    <row r="42" spans="1:5" ht="15.75" thickBot="1">
      <c r="A42" s="11" t="s">
        <v>98</v>
      </c>
      <c r="B42" s="11" t="s">
        <v>19</v>
      </c>
      <c r="C42" s="11" t="s">
        <v>38</v>
      </c>
      <c r="D42" s="11">
        <v>43</v>
      </c>
      <c r="E42" s="11"/>
    </row>
    <row r="43" spans="1:5" ht="15.75" thickBot="1">
      <c r="A43" s="12" t="s">
        <v>99</v>
      </c>
      <c r="B43" s="12" t="s">
        <v>21</v>
      </c>
      <c r="C43" s="12" t="s">
        <v>40</v>
      </c>
      <c r="D43" s="12">
        <v>400</v>
      </c>
      <c r="E43" s="12"/>
    </row>
    <row r="44" spans="1:5" ht="15.75" thickBot="1">
      <c r="A44" s="11" t="s">
        <v>99</v>
      </c>
      <c r="B44" s="11" t="s">
        <v>21</v>
      </c>
      <c r="C44" s="11" t="s">
        <v>70</v>
      </c>
      <c r="D44" s="11">
        <v>150</v>
      </c>
      <c r="E44" s="11"/>
    </row>
    <row r="45" spans="1:5" ht="15.75" thickBot="1">
      <c r="A45" s="12" t="s">
        <v>99</v>
      </c>
      <c r="B45" s="12" t="s">
        <v>56</v>
      </c>
      <c r="C45" s="12" t="s">
        <v>100</v>
      </c>
      <c r="D45" s="12">
        <v>300</v>
      </c>
      <c r="E45" s="12"/>
    </row>
    <row r="46" spans="1:5" ht="15.75" thickBot="1">
      <c r="A46" s="11" t="s">
        <v>101</v>
      </c>
      <c r="B46" s="11" t="s">
        <v>56</v>
      </c>
      <c r="C46" s="11" t="s">
        <v>100</v>
      </c>
      <c r="D46" s="11">
        <v>10</v>
      </c>
      <c r="E46" s="11"/>
    </row>
    <row r="47" spans="1:5" ht="15.75" thickBot="1">
      <c r="A47" s="12" t="s">
        <v>102</v>
      </c>
      <c r="B47" s="12" t="s">
        <v>21</v>
      </c>
      <c r="C47" s="12" t="s">
        <v>38</v>
      </c>
      <c r="D47" s="12">
        <v>529</v>
      </c>
      <c r="E47" s="12"/>
    </row>
    <row r="48" spans="1:5" ht="15.75" thickBot="1">
      <c r="A48" s="11" t="s">
        <v>102</v>
      </c>
      <c r="B48" s="11" t="s">
        <v>19</v>
      </c>
      <c r="C48" s="11" t="s">
        <v>40</v>
      </c>
      <c r="D48" s="11">
        <v>1360</v>
      </c>
      <c r="E48" s="11"/>
    </row>
    <row r="49" spans="1:5" ht="15.75" thickBot="1">
      <c r="A49" s="12" t="s">
        <v>102</v>
      </c>
      <c r="B49" s="12" t="s">
        <v>56</v>
      </c>
      <c r="C49" s="12" t="s">
        <v>100</v>
      </c>
      <c r="D49" s="12">
        <v>570</v>
      </c>
      <c r="E49" s="12"/>
    </row>
    <row r="50" spans="1:5" ht="15.75" thickBot="1">
      <c r="A50" s="11" t="s">
        <v>102</v>
      </c>
      <c r="B50" s="11" t="s">
        <v>19</v>
      </c>
      <c r="C50" s="11" t="s">
        <v>103</v>
      </c>
      <c r="D50" s="11">
        <v>2400</v>
      </c>
      <c r="E50" s="11"/>
    </row>
    <row r="51" spans="1:5" ht="15.75" thickBot="1">
      <c r="A51" s="12" t="s">
        <v>102</v>
      </c>
      <c r="B51" s="12" t="s">
        <v>19</v>
      </c>
      <c r="C51" s="12" t="s">
        <v>103</v>
      </c>
      <c r="D51" s="12">
        <v>2400</v>
      </c>
      <c r="E51" s="12"/>
    </row>
    <row r="52" spans="1:5" ht="15.75" thickBot="1">
      <c r="A52" s="11" t="s">
        <v>102</v>
      </c>
      <c r="B52" s="11" t="s">
        <v>104</v>
      </c>
      <c r="C52" s="11" t="s">
        <v>105</v>
      </c>
      <c r="D52" s="11">
        <v>400</v>
      </c>
      <c r="E52" s="11"/>
    </row>
    <row r="53" spans="1:5" ht="15.75" thickBot="1">
      <c r="A53" s="12" t="s">
        <v>102</v>
      </c>
      <c r="B53" s="12" t="s">
        <v>104</v>
      </c>
      <c r="C53" s="12" t="s">
        <v>105</v>
      </c>
      <c r="D53" s="12">
        <v>800</v>
      </c>
      <c r="E53" s="12"/>
    </row>
    <row r="54" spans="1:5" ht="15.75" thickBot="1">
      <c r="A54" s="11" t="s">
        <v>102</v>
      </c>
      <c r="B54" s="11" t="s">
        <v>104</v>
      </c>
      <c r="C54" s="11" t="s">
        <v>106</v>
      </c>
      <c r="D54" s="11">
        <v>810</v>
      </c>
      <c r="E54" s="11"/>
    </row>
    <row r="55" spans="1:5" ht="15.75" thickBot="1">
      <c r="A55" s="12" t="s">
        <v>102</v>
      </c>
      <c r="B55" s="12" t="s">
        <v>56</v>
      </c>
      <c r="C55" s="12" t="s">
        <v>60</v>
      </c>
      <c r="D55" s="12">
        <v>35</v>
      </c>
      <c r="E55" s="12"/>
    </row>
    <row r="56" spans="1:5" ht="15.75" thickBot="1">
      <c r="A56" s="11" t="s">
        <v>102</v>
      </c>
      <c r="B56" s="11" t="s">
        <v>19</v>
      </c>
      <c r="C56" s="11" t="s">
        <v>107</v>
      </c>
      <c r="D56" s="11">
        <v>222</v>
      </c>
      <c r="E56" s="11"/>
    </row>
    <row r="57" spans="1:5" ht="15.75" thickBot="1">
      <c r="A57" s="12" t="s">
        <v>102</v>
      </c>
      <c r="B57" s="12" t="s">
        <v>21</v>
      </c>
      <c r="C57" s="12" t="s">
        <v>62</v>
      </c>
      <c r="D57" s="12">
        <v>1400</v>
      </c>
      <c r="E57" s="12"/>
    </row>
    <row r="58" spans="1:5" ht="15.75" thickBot="1">
      <c r="A58" s="11" t="s">
        <v>102</v>
      </c>
      <c r="B58" s="11" t="s">
        <v>104</v>
      </c>
      <c r="C58" s="11" t="s">
        <v>108</v>
      </c>
      <c r="D58" s="11">
        <v>65</v>
      </c>
      <c r="E58" s="11"/>
    </row>
    <row r="59" spans="1:5" ht="15.75" thickBot="1">
      <c r="A59" s="12" t="s">
        <v>102</v>
      </c>
      <c r="B59" s="12" t="s">
        <v>21</v>
      </c>
      <c r="C59" s="12" t="s">
        <v>49</v>
      </c>
      <c r="D59" s="12">
        <v>280</v>
      </c>
      <c r="E59" s="12"/>
    </row>
    <row r="60" spans="1:5" ht="15.75" thickBot="1">
      <c r="A60" s="11" t="s">
        <v>102</v>
      </c>
      <c r="B60" s="11" t="s">
        <v>104</v>
      </c>
      <c r="C60" s="11" t="s">
        <v>108</v>
      </c>
      <c r="D60" s="11">
        <v>130</v>
      </c>
      <c r="E60" s="11"/>
    </row>
    <row r="61" spans="1:5" ht="15.75" thickBot="1">
      <c r="A61" s="12" t="s">
        <v>102</v>
      </c>
      <c r="B61" s="12" t="s">
        <v>109</v>
      </c>
      <c r="C61" s="12" t="s">
        <v>110</v>
      </c>
      <c r="D61" s="12">
        <v>100</v>
      </c>
      <c r="E61" s="12"/>
    </row>
    <row r="62" spans="1:5" ht="15.75" thickBot="1">
      <c r="A62" s="11" t="s">
        <v>102</v>
      </c>
      <c r="B62" s="11" t="s">
        <v>111</v>
      </c>
      <c r="C62" s="11" t="s">
        <v>112</v>
      </c>
      <c r="D62" s="11">
        <v>200</v>
      </c>
      <c r="E62" s="11"/>
    </row>
    <row r="63" spans="1:5" ht="15.75" thickBot="1">
      <c r="A63" s="12" t="s">
        <v>102</v>
      </c>
      <c r="B63" s="12" t="s">
        <v>111</v>
      </c>
      <c r="C63" s="12" t="s">
        <v>112</v>
      </c>
      <c r="D63" s="12">
        <v>200</v>
      </c>
      <c r="E63" s="12"/>
    </row>
    <row r="64" spans="1:5" ht="15.75" thickBot="1">
      <c r="A64" s="11" t="s">
        <v>102</v>
      </c>
      <c r="B64" s="11" t="s">
        <v>113</v>
      </c>
      <c r="C64" s="11" t="s">
        <v>114</v>
      </c>
      <c r="D64" s="11">
        <v>50</v>
      </c>
      <c r="E64" s="11"/>
    </row>
    <row r="65" spans="1:5" ht="15.75" thickBot="1">
      <c r="A65" s="12" t="s">
        <v>115</v>
      </c>
      <c r="B65" s="12" t="s">
        <v>21</v>
      </c>
      <c r="C65" s="12" t="s">
        <v>49</v>
      </c>
      <c r="D65" s="12">
        <v>225</v>
      </c>
      <c r="E65" s="12"/>
    </row>
    <row r="66" spans="1:5" ht="15.75" thickBot="1">
      <c r="A66" s="11" t="s">
        <v>116</v>
      </c>
      <c r="B66" s="11" t="s">
        <v>21</v>
      </c>
      <c r="C66" s="11" t="s">
        <v>49</v>
      </c>
      <c r="D66" s="11">
        <v>30</v>
      </c>
      <c r="E66" s="11"/>
    </row>
    <row r="67" spans="1:5" ht="15.75" thickBot="1">
      <c r="A67" s="12" t="s">
        <v>117</v>
      </c>
      <c r="B67" s="12" t="s">
        <v>118</v>
      </c>
      <c r="C67" s="12" t="s">
        <v>119</v>
      </c>
      <c r="D67" s="12">
        <v>8960</v>
      </c>
      <c r="E67" s="12"/>
    </row>
    <row r="68" spans="1:5" ht="15.75" thickBot="1">
      <c r="A68" s="11" t="s">
        <v>117</v>
      </c>
      <c r="B68" s="11" t="s">
        <v>118</v>
      </c>
      <c r="C68" s="11" t="s">
        <v>119</v>
      </c>
      <c r="D68" s="11">
        <v>8960</v>
      </c>
      <c r="E68" s="11"/>
    </row>
    <row r="69" spans="1:5" ht="15.75" thickBot="1">
      <c r="A69" s="12" t="s">
        <v>120</v>
      </c>
      <c r="B69" s="12" t="s">
        <v>21</v>
      </c>
      <c r="C69" s="12" t="s">
        <v>40</v>
      </c>
      <c r="D69" s="12">
        <v>80</v>
      </c>
      <c r="E69" s="12"/>
    </row>
    <row r="70" spans="1:5" ht="15.75" thickBot="1">
      <c r="A70" s="11" t="s">
        <v>121</v>
      </c>
      <c r="B70" s="11" t="s">
        <v>21</v>
      </c>
      <c r="C70" s="11" t="s">
        <v>38</v>
      </c>
      <c r="D70" s="11">
        <v>16</v>
      </c>
      <c r="E70" s="11"/>
    </row>
    <row r="71" spans="1:5" ht="15.75" thickBot="1">
      <c r="A71" s="12" t="s">
        <v>122</v>
      </c>
      <c r="B71" s="12" t="s">
        <v>123</v>
      </c>
      <c r="C71" s="12" t="s">
        <v>124</v>
      </c>
      <c r="D71" s="12">
        <v>100</v>
      </c>
      <c r="E71" s="12"/>
    </row>
    <row r="72" spans="1:5" ht="15.75" thickBot="1">
      <c r="A72" s="11" t="s">
        <v>125</v>
      </c>
      <c r="B72" s="11" t="s">
        <v>56</v>
      </c>
      <c r="C72" s="11" t="s">
        <v>57</v>
      </c>
      <c r="D72" s="11">
        <v>200</v>
      </c>
      <c r="E72" s="11"/>
    </row>
    <row r="73" spans="1:5" ht="15.75" thickBot="1">
      <c r="A73" s="12" t="s">
        <v>126</v>
      </c>
      <c r="B73" s="12" t="s">
        <v>21</v>
      </c>
      <c r="C73" s="12" t="s">
        <v>40</v>
      </c>
      <c r="D73" s="12">
        <v>80</v>
      </c>
      <c r="E73" s="12"/>
    </row>
    <row r="74" spans="1:5" ht="15.75" thickBot="1">
      <c r="A74" s="11" t="s">
        <v>127</v>
      </c>
      <c r="B74" s="11" t="s">
        <v>21</v>
      </c>
      <c r="C74" s="11" t="s">
        <v>70</v>
      </c>
      <c r="D74" s="11">
        <v>80</v>
      </c>
      <c r="E74" s="11"/>
    </row>
    <row r="75" spans="1:5" ht="15.75" thickBot="1">
      <c r="A75" s="12" t="s">
        <v>128</v>
      </c>
      <c r="B75" s="12" t="s">
        <v>129</v>
      </c>
      <c r="C75" s="12" t="s">
        <v>35</v>
      </c>
      <c r="D75" s="12">
        <v>10</v>
      </c>
      <c r="E75" s="12"/>
    </row>
    <row r="76" spans="1:5" ht="15.75" thickBot="1">
      <c r="A76" s="11" t="s">
        <v>130</v>
      </c>
      <c r="B76" s="11" t="s">
        <v>21</v>
      </c>
      <c r="C76" s="11" t="s">
        <v>49</v>
      </c>
      <c r="D76" s="11">
        <v>15</v>
      </c>
      <c r="E76" s="11"/>
    </row>
    <row r="77" spans="1:5" ht="15.75" thickBot="1">
      <c r="A77" s="12" t="s">
        <v>130</v>
      </c>
      <c r="B77" s="12" t="s">
        <v>21</v>
      </c>
      <c r="C77" s="12" t="s">
        <v>49</v>
      </c>
      <c r="D77" s="12">
        <v>30</v>
      </c>
      <c r="E77" s="12"/>
    </row>
    <row r="78" spans="1:5" ht="15.75" thickBot="1">
      <c r="A78" s="11" t="s">
        <v>131</v>
      </c>
      <c r="B78" s="11" t="s">
        <v>19</v>
      </c>
      <c r="C78" s="11" t="s">
        <v>108</v>
      </c>
      <c r="D78" s="11">
        <v>31</v>
      </c>
      <c r="E78" s="11"/>
    </row>
    <row r="79" spans="1:5" ht="15.75" thickBot="1">
      <c r="A79" s="12" t="s">
        <v>131</v>
      </c>
      <c r="B79" s="12" t="s">
        <v>19</v>
      </c>
      <c r="C79" s="12" t="s">
        <v>108</v>
      </c>
      <c r="D79" s="12">
        <v>29</v>
      </c>
      <c r="E79" s="12"/>
    </row>
    <row r="80" spans="1:5" ht="15.75" thickBot="1">
      <c r="A80" s="11" t="s">
        <v>132</v>
      </c>
      <c r="B80" s="11" t="s">
        <v>56</v>
      </c>
      <c r="C80" s="11" t="s">
        <v>100</v>
      </c>
      <c r="D80" s="11">
        <v>10</v>
      </c>
      <c r="E80" s="11"/>
    </row>
    <row r="81" spans="1:5" ht="15.75" thickBot="1">
      <c r="A81" s="12" t="s">
        <v>133</v>
      </c>
      <c r="B81" s="12" t="s">
        <v>134</v>
      </c>
      <c r="C81" s="12" t="s">
        <v>135</v>
      </c>
      <c r="D81" s="12">
        <v>28</v>
      </c>
      <c r="E81" s="12"/>
    </row>
    <row r="82" spans="1:5" ht="15.75" thickBot="1">
      <c r="A82" s="11" t="s">
        <v>136</v>
      </c>
      <c r="B82" s="11" t="s">
        <v>21</v>
      </c>
      <c r="C82" s="11" t="s">
        <v>40</v>
      </c>
      <c r="D82" s="11">
        <v>400</v>
      </c>
      <c r="E82" s="11"/>
    </row>
    <row r="83" spans="1:5" ht="15.75" thickBot="1">
      <c r="A83" s="12" t="s">
        <v>137</v>
      </c>
      <c r="B83" s="12" t="s">
        <v>56</v>
      </c>
      <c r="C83" s="12" t="s">
        <v>57</v>
      </c>
      <c r="D83" s="12">
        <v>180</v>
      </c>
      <c r="E83" s="12"/>
    </row>
    <row r="84" spans="1:5" ht="15.75" thickBot="1">
      <c r="A84" s="11" t="s">
        <v>138</v>
      </c>
      <c r="B84" s="11" t="s">
        <v>56</v>
      </c>
      <c r="C84" s="11" t="s">
        <v>57</v>
      </c>
      <c r="D84" s="11">
        <v>44</v>
      </c>
      <c r="E84" s="11"/>
    </row>
    <row r="85" spans="1:5" ht="15.75" thickBot="1">
      <c r="A85" s="12" t="s">
        <v>139</v>
      </c>
      <c r="B85" s="12" t="s">
        <v>21</v>
      </c>
      <c r="C85" s="12" t="s">
        <v>49</v>
      </c>
      <c r="D85" s="12">
        <v>105</v>
      </c>
      <c r="E85" s="12"/>
    </row>
    <row r="86" spans="1:5" ht="15.75" thickBot="1">
      <c r="A86" s="11" t="s">
        <v>140</v>
      </c>
      <c r="B86" s="11" t="s">
        <v>141</v>
      </c>
      <c r="C86" s="11" t="s">
        <v>112</v>
      </c>
      <c r="D86" s="11">
        <v>180</v>
      </c>
      <c r="E86" s="11"/>
    </row>
    <row r="87" spans="1:5" ht="15.75" thickBot="1">
      <c r="A87" s="12" t="s">
        <v>140</v>
      </c>
      <c r="B87" s="12" t="s">
        <v>141</v>
      </c>
      <c r="C87" s="12" t="s">
        <v>112</v>
      </c>
      <c r="D87" s="12">
        <v>180</v>
      </c>
      <c r="E87" s="12"/>
    </row>
    <row r="88" spans="1:5" ht="15.75" thickBot="1">
      <c r="A88" s="11" t="s">
        <v>140</v>
      </c>
      <c r="B88" s="11" t="s">
        <v>21</v>
      </c>
      <c r="C88" s="11" t="s">
        <v>142</v>
      </c>
      <c r="D88" s="11">
        <v>13200</v>
      </c>
      <c r="E88" s="11"/>
    </row>
    <row r="89" spans="1:5" ht="15.75" thickBot="1">
      <c r="A89" s="12" t="s">
        <v>143</v>
      </c>
      <c r="B89" s="12" t="s">
        <v>56</v>
      </c>
      <c r="C89" s="12" t="s">
        <v>100</v>
      </c>
      <c r="D89" s="12">
        <v>120</v>
      </c>
      <c r="E89" s="12"/>
    </row>
    <row r="90" spans="1:5" ht="15.75" thickBot="1">
      <c r="A90" s="11" t="s">
        <v>144</v>
      </c>
      <c r="B90" s="11" t="s">
        <v>145</v>
      </c>
      <c r="C90" s="11" t="s">
        <v>42</v>
      </c>
      <c r="D90" s="11">
        <v>10</v>
      </c>
      <c r="E90" s="11"/>
    </row>
    <row r="91" spans="1:5" ht="15.75" thickBot="1">
      <c r="A91" s="12" t="s">
        <v>146</v>
      </c>
      <c r="B91" s="12" t="s">
        <v>147</v>
      </c>
      <c r="C91" s="12" t="s">
        <v>79</v>
      </c>
      <c r="D91" s="12">
        <v>15</v>
      </c>
      <c r="E91" s="12"/>
    </row>
    <row r="92" spans="1:5" ht="15.75" thickBot="1">
      <c r="A92" s="11" t="s">
        <v>148</v>
      </c>
      <c r="B92" s="11" t="s">
        <v>149</v>
      </c>
      <c r="C92" s="11" t="s">
        <v>150</v>
      </c>
      <c r="D92" s="11">
        <v>60</v>
      </c>
      <c r="E92" s="11"/>
    </row>
    <row r="93" spans="1:5" ht="15.75" thickBot="1">
      <c r="A93" s="12" t="s">
        <v>151</v>
      </c>
      <c r="B93" s="12" t="s">
        <v>18</v>
      </c>
      <c r="C93" s="12" t="s">
        <v>86</v>
      </c>
      <c r="D93" s="12">
        <v>200</v>
      </c>
      <c r="E93" s="12"/>
    </row>
    <row r="94" spans="1:5" ht="15.75" thickBot="1">
      <c r="A94" s="11" t="s">
        <v>151</v>
      </c>
      <c r="B94" s="11" t="s">
        <v>18</v>
      </c>
      <c r="C94" s="11" t="s">
        <v>86</v>
      </c>
      <c r="D94" s="11">
        <v>200</v>
      </c>
      <c r="E94" s="11"/>
    </row>
    <row r="95" spans="1:5" ht="15.75" thickBot="1">
      <c r="A95" s="12" t="s">
        <v>152</v>
      </c>
      <c r="B95" s="12" t="s">
        <v>56</v>
      </c>
      <c r="C95" s="12" t="s">
        <v>100</v>
      </c>
      <c r="D95" s="12">
        <v>30</v>
      </c>
      <c r="E95" s="12"/>
    </row>
    <row r="96" spans="1:5" ht="15.75" thickBot="1">
      <c r="A96" s="11" t="s">
        <v>153</v>
      </c>
      <c r="B96" s="11" t="s">
        <v>18</v>
      </c>
      <c r="C96" s="11" t="s">
        <v>94</v>
      </c>
      <c r="D96" s="11">
        <v>3000</v>
      </c>
      <c r="E96" s="11"/>
    </row>
    <row r="97" spans="1:5" ht="15.75" thickBot="1">
      <c r="A97" s="12" t="s">
        <v>154</v>
      </c>
      <c r="B97" s="12" t="s">
        <v>18</v>
      </c>
      <c r="C97" s="12" t="s">
        <v>83</v>
      </c>
      <c r="D97" s="12">
        <v>4</v>
      </c>
      <c r="E97" s="12"/>
    </row>
    <row r="98" spans="1:5" ht="15.75" thickBot="1">
      <c r="A98" s="11" t="s">
        <v>155</v>
      </c>
      <c r="B98" s="11" t="s">
        <v>21</v>
      </c>
      <c r="C98" s="11" t="s">
        <v>82</v>
      </c>
      <c r="D98" s="11">
        <v>60</v>
      </c>
      <c r="E98" s="11"/>
    </row>
    <row r="99" spans="1:5" ht="15.75" thickBot="1">
      <c r="A99" s="12" t="s">
        <v>155</v>
      </c>
      <c r="B99" s="12" t="s">
        <v>21</v>
      </c>
      <c r="C99" s="12" t="s">
        <v>83</v>
      </c>
      <c r="D99" s="12">
        <v>12</v>
      </c>
      <c r="E99" s="12"/>
    </row>
    <row r="100" spans="1:5" ht="15.75" thickBot="1">
      <c r="A100" s="11" t="s">
        <v>156</v>
      </c>
      <c r="B100" s="11" t="s">
        <v>21</v>
      </c>
      <c r="C100" s="11" t="s">
        <v>40</v>
      </c>
      <c r="D100" s="11">
        <v>80</v>
      </c>
      <c r="E100" s="11"/>
    </row>
    <row r="101" spans="1:5" ht="15.75" thickBot="1">
      <c r="A101" s="12" t="s">
        <v>157</v>
      </c>
      <c r="B101" s="12" t="s">
        <v>158</v>
      </c>
      <c r="C101" s="12" t="s">
        <v>110</v>
      </c>
      <c r="D101" s="12">
        <v>1000</v>
      </c>
      <c r="E101" s="12"/>
    </row>
    <row r="102" spans="1:5" ht="15.75" thickBot="1">
      <c r="A102" s="11" t="s">
        <v>159</v>
      </c>
      <c r="B102" s="11" t="s">
        <v>160</v>
      </c>
      <c r="C102" s="11" t="s">
        <v>150</v>
      </c>
      <c r="D102" s="11">
        <v>7380</v>
      </c>
      <c r="E102" s="11"/>
    </row>
    <row r="103" spans="1:5" ht="15.75" thickBot="1">
      <c r="A103" s="12" t="s">
        <v>161</v>
      </c>
      <c r="B103" s="12" t="s">
        <v>162</v>
      </c>
      <c r="C103" s="12" t="s">
        <v>49</v>
      </c>
      <c r="D103" s="12">
        <v>2010</v>
      </c>
      <c r="E103" s="12"/>
    </row>
    <row r="104" spans="1:5" ht="15.75" thickBot="1">
      <c r="A104" s="11" t="s">
        <v>161</v>
      </c>
      <c r="B104" s="11" t="s">
        <v>21</v>
      </c>
      <c r="C104" s="11" t="s">
        <v>49</v>
      </c>
      <c r="D104" s="11">
        <v>75</v>
      </c>
      <c r="E104" s="11"/>
    </row>
    <row r="105" spans="1:5" ht="15.75" thickBot="1">
      <c r="A105" s="12" t="s">
        <v>161</v>
      </c>
      <c r="B105" s="12" t="s">
        <v>21</v>
      </c>
      <c r="C105" s="12" t="s">
        <v>163</v>
      </c>
      <c r="D105" s="12">
        <v>75</v>
      </c>
      <c r="E105" s="12"/>
    </row>
    <row r="106" spans="1:5" ht="15.75" thickBot="1">
      <c r="A106" s="11" t="s">
        <v>164</v>
      </c>
      <c r="B106" s="11" t="s">
        <v>21</v>
      </c>
      <c r="C106" s="11" t="s">
        <v>86</v>
      </c>
      <c r="D106" s="11">
        <v>208</v>
      </c>
      <c r="E106" s="11"/>
    </row>
    <row r="107" spans="1:5" ht="15.75" thickBot="1">
      <c r="A107" s="12" t="s">
        <v>164</v>
      </c>
      <c r="B107" s="12" t="s">
        <v>21</v>
      </c>
      <c r="C107" s="12" t="s">
        <v>82</v>
      </c>
      <c r="D107" s="12">
        <v>40</v>
      </c>
      <c r="E107" s="12"/>
    </row>
    <row r="108" spans="1:5" ht="15.75" thickBot="1">
      <c r="A108" s="11" t="s">
        <v>164</v>
      </c>
      <c r="B108" s="11" t="s">
        <v>18</v>
      </c>
      <c r="C108" s="11" t="s">
        <v>110</v>
      </c>
      <c r="D108" s="11">
        <v>1000</v>
      </c>
      <c r="E108" s="11"/>
    </row>
    <row r="109" spans="1:5" ht="15.75" thickBot="1">
      <c r="A109" s="12" t="s">
        <v>164</v>
      </c>
      <c r="B109" s="12" t="s">
        <v>21</v>
      </c>
      <c r="C109" s="12" t="s">
        <v>82</v>
      </c>
      <c r="D109" s="12">
        <v>724</v>
      </c>
      <c r="E109" s="12"/>
    </row>
    <row r="110" spans="1:5" ht="15.75" thickBot="1">
      <c r="A110" s="11" t="s">
        <v>164</v>
      </c>
      <c r="B110" s="11" t="s">
        <v>21</v>
      </c>
      <c r="C110" s="11" t="s">
        <v>86</v>
      </c>
      <c r="D110" s="11">
        <v>208</v>
      </c>
      <c r="E110" s="11"/>
    </row>
    <row r="111" spans="1:5" ht="15.75" thickBot="1">
      <c r="A111" s="12" t="s">
        <v>164</v>
      </c>
      <c r="B111" s="12" t="s">
        <v>21</v>
      </c>
      <c r="C111" s="12" t="s">
        <v>49</v>
      </c>
      <c r="D111" s="12">
        <v>708</v>
      </c>
      <c r="E111" s="12"/>
    </row>
    <row r="112" spans="1:5" ht="15.75" thickBot="1">
      <c r="A112" s="11" t="s">
        <v>164</v>
      </c>
      <c r="B112" s="11" t="s">
        <v>56</v>
      </c>
      <c r="C112" s="11" t="s">
        <v>100</v>
      </c>
      <c r="D112" s="11">
        <v>800</v>
      </c>
      <c r="E112" s="11"/>
    </row>
    <row r="113" spans="1:5" ht="15.75" thickBot="1">
      <c r="A113" s="12" t="s">
        <v>164</v>
      </c>
      <c r="B113" s="12" t="s">
        <v>56</v>
      </c>
      <c r="C113" s="12" t="s">
        <v>100</v>
      </c>
      <c r="D113" s="12">
        <v>937</v>
      </c>
      <c r="E113" s="12"/>
    </row>
    <row r="114" spans="1:5" ht="15.75" thickBot="1">
      <c r="A114" s="11" t="s">
        <v>164</v>
      </c>
      <c r="B114" s="11" t="s">
        <v>165</v>
      </c>
      <c r="C114" s="11" t="s">
        <v>166</v>
      </c>
      <c r="D114" s="11">
        <v>20</v>
      </c>
      <c r="E114" s="11"/>
    </row>
    <row r="115" spans="1:5" ht="15.75" thickBot="1">
      <c r="A115" s="12" t="s">
        <v>164</v>
      </c>
      <c r="B115" s="12" t="s">
        <v>56</v>
      </c>
      <c r="C115" s="12" t="s">
        <v>57</v>
      </c>
      <c r="D115" s="12">
        <v>110</v>
      </c>
      <c r="E115" s="12"/>
    </row>
    <row r="116" spans="1:5" ht="15.75" thickBot="1">
      <c r="A116" s="11" t="s">
        <v>164</v>
      </c>
      <c r="B116" s="11" t="s">
        <v>18</v>
      </c>
      <c r="C116" s="11" t="s">
        <v>70</v>
      </c>
      <c r="D116" s="11">
        <v>4050</v>
      </c>
      <c r="E116" s="11"/>
    </row>
    <row r="117" spans="1:5" ht="15.75" thickBot="1">
      <c r="A117" s="12" t="s">
        <v>164</v>
      </c>
      <c r="B117" s="12" t="s">
        <v>21</v>
      </c>
      <c r="C117" s="12" t="s">
        <v>49</v>
      </c>
      <c r="D117" s="12">
        <v>243</v>
      </c>
      <c r="E117" s="12"/>
    </row>
    <row r="118" spans="1:5" ht="15.75" thickBot="1">
      <c r="A118" s="11" t="s">
        <v>164</v>
      </c>
      <c r="B118" s="11" t="s">
        <v>18</v>
      </c>
      <c r="C118" s="11" t="s">
        <v>167</v>
      </c>
      <c r="D118" s="11">
        <v>120</v>
      </c>
      <c r="E118" s="11"/>
    </row>
    <row r="119" spans="1:5" ht="15.75" thickBot="1">
      <c r="A119" s="12" t="s">
        <v>168</v>
      </c>
      <c r="B119" s="12" t="s">
        <v>21</v>
      </c>
      <c r="C119" s="12" t="s">
        <v>86</v>
      </c>
      <c r="D119" s="12">
        <v>264</v>
      </c>
      <c r="E119" s="12"/>
    </row>
    <row r="120" spans="1:5" ht="15.75" thickBot="1">
      <c r="A120" s="11" t="s">
        <v>169</v>
      </c>
      <c r="B120" s="11" t="s">
        <v>21</v>
      </c>
      <c r="C120" s="11" t="s">
        <v>86</v>
      </c>
      <c r="D120" s="11">
        <v>264</v>
      </c>
      <c r="E120" s="11"/>
    </row>
    <row r="121" spans="1:5" ht="15.75" thickBot="1">
      <c r="A121" s="12" t="s">
        <v>170</v>
      </c>
      <c r="B121" s="12" t="s">
        <v>171</v>
      </c>
      <c r="C121" s="12" t="s">
        <v>172</v>
      </c>
      <c r="D121" s="12">
        <v>320</v>
      </c>
      <c r="E121" s="12"/>
    </row>
    <row r="122" spans="1:5" ht="15.75" thickBot="1">
      <c r="A122" s="11" t="s">
        <v>173</v>
      </c>
      <c r="B122" s="11" t="s">
        <v>18</v>
      </c>
      <c r="C122" s="11" t="s">
        <v>38</v>
      </c>
      <c r="D122" s="11">
        <v>31</v>
      </c>
      <c r="E122" s="11"/>
    </row>
    <row r="123" spans="1:5" ht="15.75" thickBot="1">
      <c r="A123" s="12" t="s">
        <v>173</v>
      </c>
      <c r="B123" s="12" t="s">
        <v>174</v>
      </c>
      <c r="C123" s="12" t="s">
        <v>77</v>
      </c>
      <c r="D123" s="12">
        <v>74</v>
      </c>
      <c r="E123" s="12"/>
    </row>
    <row r="124" spans="1:5" ht="15.75" thickBot="1">
      <c r="A124" s="11" t="s">
        <v>175</v>
      </c>
      <c r="B124" s="11" t="s">
        <v>176</v>
      </c>
      <c r="C124" s="11" t="s">
        <v>177</v>
      </c>
      <c r="D124" s="11">
        <v>400</v>
      </c>
      <c r="E124" s="11"/>
    </row>
    <row r="125" spans="1:5" ht="15.75" thickBot="1">
      <c r="A125" s="12" t="s">
        <v>175</v>
      </c>
      <c r="B125" s="12" t="s">
        <v>178</v>
      </c>
      <c r="C125" s="12" t="s">
        <v>119</v>
      </c>
      <c r="D125" s="12">
        <v>1140</v>
      </c>
      <c r="E125" s="12"/>
    </row>
    <row r="126" spans="1:5" ht="15.75" thickBot="1">
      <c r="A126" s="11" t="s">
        <v>175</v>
      </c>
      <c r="B126" s="11" t="s">
        <v>178</v>
      </c>
      <c r="C126" s="11" t="s">
        <v>119</v>
      </c>
      <c r="D126" s="11">
        <v>1140</v>
      </c>
      <c r="E126" s="11"/>
    </row>
    <row r="127" spans="1:5" ht="15.75" thickBot="1">
      <c r="A127" s="12" t="s">
        <v>179</v>
      </c>
      <c r="B127" s="12" t="s">
        <v>18</v>
      </c>
      <c r="C127" s="12" t="s">
        <v>49</v>
      </c>
      <c r="D127" s="12">
        <v>15</v>
      </c>
      <c r="E127" s="12"/>
    </row>
    <row r="128" spans="1:5" ht="15.75" thickBot="1">
      <c r="A128" s="11" t="s">
        <v>180</v>
      </c>
      <c r="B128" s="11" t="s">
        <v>18</v>
      </c>
      <c r="C128" s="11" t="s">
        <v>167</v>
      </c>
      <c r="D128" s="11">
        <v>1200</v>
      </c>
      <c r="E128" s="11"/>
    </row>
    <row r="129" spans="1:5" ht="15.75" thickBot="1">
      <c r="A129" s="12" t="s">
        <v>180</v>
      </c>
      <c r="B129" s="12" t="s">
        <v>165</v>
      </c>
      <c r="C129" s="12" t="s">
        <v>166</v>
      </c>
      <c r="D129" s="12">
        <v>20</v>
      </c>
      <c r="E129" s="12"/>
    </row>
    <row r="130" spans="1:5" ht="15.75" thickBot="1">
      <c r="A130" s="11" t="s">
        <v>180</v>
      </c>
      <c r="B130" s="11" t="s">
        <v>18</v>
      </c>
      <c r="C130" s="11" t="s">
        <v>110</v>
      </c>
      <c r="D130" s="11">
        <v>2250</v>
      </c>
      <c r="E130" s="11"/>
    </row>
    <row r="131" spans="1:5" ht="15.75" thickBot="1">
      <c r="A131" s="12" t="s">
        <v>180</v>
      </c>
      <c r="B131" s="12" t="s">
        <v>21</v>
      </c>
      <c r="C131" s="12" t="s">
        <v>181</v>
      </c>
      <c r="D131" s="12">
        <v>435</v>
      </c>
      <c r="E131" s="12"/>
    </row>
    <row r="132" spans="1:5" ht="15.75" thickBot="1">
      <c r="A132" s="11" t="s">
        <v>180</v>
      </c>
      <c r="B132" s="11" t="s">
        <v>56</v>
      </c>
      <c r="C132" s="11" t="s">
        <v>100</v>
      </c>
      <c r="D132" s="11">
        <v>575</v>
      </c>
      <c r="E132" s="11"/>
    </row>
    <row r="133" spans="1:5" ht="15.75" thickBot="1">
      <c r="A133" s="12" t="s">
        <v>180</v>
      </c>
      <c r="B133" s="12" t="s">
        <v>21</v>
      </c>
      <c r="C133" s="12" t="s">
        <v>82</v>
      </c>
      <c r="D133" s="12">
        <v>60</v>
      </c>
      <c r="E133" s="12"/>
    </row>
    <row r="134" spans="1:5" ht="15.75" thickBot="1">
      <c r="A134" s="11" t="s">
        <v>180</v>
      </c>
      <c r="B134" s="11" t="s">
        <v>56</v>
      </c>
      <c r="C134" s="11" t="s">
        <v>57</v>
      </c>
      <c r="D134" s="11">
        <v>40</v>
      </c>
      <c r="E134" s="11"/>
    </row>
    <row r="135" spans="1:5" ht="15.75" thickBot="1">
      <c r="A135" s="12" t="s">
        <v>182</v>
      </c>
      <c r="B135" s="12" t="s">
        <v>56</v>
      </c>
      <c r="C135" s="12" t="s">
        <v>57</v>
      </c>
      <c r="D135" s="12">
        <v>160</v>
      </c>
      <c r="E135" s="12"/>
    </row>
    <row r="136" spans="1:5" ht="15.75" thickBot="1">
      <c r="A136" s="11" t="s">
        <v>182</v>
      </c>
      <c r="B136" s="11" t="s">
        <v>56</v>
      </c>
      <c r="C136" s="11" t="s">
        <v>57</v>
      </c>
      <c r="D136" s="11">
        <v>160</v>
      </c>
      <c r="E136" s="11"/>
    </row>
    <row r="137" spans="1:5" ht="15.75" thickBot="1">
      <c r="A137" s="12" t="s">
        <v>183</v>
      </c>
      <c r="B137" s="12" t="s">
        <v>184</v>
      </c>
      <c r="C137" s="12" t="s">
        <v>49</v>
      </c>
      <c r="D137" s="12">
        <v>15</v>
      </c>
      <c r="E137" s="12"/>
    </row>
    <row r="138" spans="1:5" ht="15.75" thickBot="1">
      <c r="A138" s="11" t="s">
        <v>185</v>
      </c>
      <c r="B138" s="11" t="s">
        <v>18</v>
      </c>
      <c r="C138" s="11" t="s">
        <v>110</v>
      </c>
      <c r="D138" s="11">
        <v>850</v>
      </c>
      <c r="E138" s="11"/>
    </row>
    <row r="139" spans="1:5" ht="15.75" thickBot="1">
      <c r="A139" s="12" t="s">
        <v>186</v>
      </c>
      <c r="B139" s="12" t="s">
        <v>18</v>
      </c>
      <c r="C139" s="12" t="s">
        <v>94</v>
      </c>
      <c r="D139" s="12">
        <v>300</v>
      </c>
      <c r="E139" s="12"/>
    </row>
    <row r="140" spans="1:5" ht="15.75" thickBot="1">
      <c r="A140" s="11" t="s">
        <v>187</v>
      </c>
      <c r="B140" s="11" t="s">
        <v>188</v>
      </c>
      <c r="C140" s="11" t="s">
        <v>189</v>
      </c>
      <c r="D140" s="11">
        <v>25</v>
      </c>
      <c r="E140" s="11"/>
    </row>
    <row r="141" spans="1:5" ht="15.75" thickBot="1">
      <c r="A141" s="12" t="s">
        <v>190</v>
      </c>
      <c r="B141" s="12" t="s">
        <v>191</v>
      </c>
      <c r="C141" s="12" t="s">
        <v>177</v>
      </c>
      <c r="D141" s="12">
        <v>1600</v>
      </c>
      <c r="E141" s="12"/>
    </row>
    <row r="142" spans="1:5" ht="15.75" thickBot="1">
      <c r="A142" s="11" t="s">
        <v>192</v>
      </c>
      <c r="B142" s="11" t="s">
        <v>56</v>
      </c>
      <c r="C142" s="11" t="s">
        <v>100</v>
      </c>
      <c r="D142" s="11">
        <v>10</v>
      </c>
      <c r="E142" s="11"/>
    </row>
    <row r="143" spans="1:5" ht="15.75" thickBot="1">
      <c r="A143" s="11" t="s">
        <v>193</v>
      </c>
      <c r="B143" s="11" t="s">
        <v>21</v>
      </c>
      <c r="C143" s="11" t="s">
        <v>49</v>
      </c>
      <c r="D143" s="11">
        <v>30</v>
      </c>
      <c r="E143" s="11"/>
    </row>
    <row r="144" spans="1:5" ht="15.75" thickBot="1">
      <c r="A144" s="12" t="s">
        <v>194</v>
      </c>
      <c r="B144" s="12" t="s">
        <v>21</v>
      </c>
      <c r="C144" s="12" t="s">
        <v>195</v>
      </c>
      <c r="D144" s="12">
        <v>215</v>
      </c>
      <c r="E144" s="12"/>
    </row>
    <row r="145" spans="1:5" ht="15.75" thickBot="1">
      <c r="A145" s="11" t="s">
        <v>194</v>
      </c>
      <c r="B145" s="11" t="s">
        <v>196</v>
      </c>
      <c r="C145" s="11" t="s">
        <v>197</v>
      </c>
      <c r="D145" s="11">
        <v>1000</v>
      </c>
      <c r="E145" s="11"/>
    </row>
    <row r="146" spans="1:5" ht="15.75" thickBot="1">
      <c r="A146" s="12" t="s">
        <v>194</v>
      </c>
      <c r="B146" s="12" t="s">
        <v>196</v>
      </c>
      <c r="C146" s="12" t="s">
        <v>197</v>
      </c>
      <c r="D146" s="12">
        <v>1000</v>
      </c>
      <c r="E146" s="12"/>
    </row>
    <row r="147" spans="1:5" ht="15.75" thickBot="1">
      <c r="A147" s="11" t="s">
        <v>198</v>
      </c>
      <c r="B147" s="11" t="s">
        <v>63</v>
      </c>
      <c r="C147" s="11" t="s">
        <v>35</v>
      </c>
      <c r="D147" s="11">
        <v>15</v>
      </c>
      <c r="E147" s="11"/>
    </row>
    <row r="148" spans="1:5" ht="15.75" thickBot="1">
      <c r="A148" s="11" t="s">
        <v>199</v>
      </c>
      <c r="B148" s="11" t="s">
        <v>200</v>
      </c>
      <c r="C148" s="11" t="s">
        <v>54</v>
      </c>
      <c r="D148" s="11">
        <v>9</v>
      </c>
      <c r="E148" s="11"/>
    </row>
    <row r="149" spans="1:5" ht="15.75" thickBot="1">
      <c r="A149" s="12" t="s">
        <v>201</v>
      </c>
      <c r="B149" s="12" t="s">
        <v>56</v>
      </c>
      <c r="C149" s="12" t="s">
        <v>100</v>
      </c>
      <c r="D149" s="12">
        <v>10</v>
      </c>
      <c r="E149" s="12"/>
    </row>
    <row r="150" spans="1:5" ht="15.75" thickBot="1">
      <c r="A150" s="13"/>
      <c r="B150" s="14"/>
      <c r="C150" s="14"/>
      <c r="D150" s="14"/>
      <c r="E150" s="15"/>
    </row>
    <row r="151" spans="1:5" ht="15.75" thickBot="1"/>
    <row r="152" spans="1:5" ht="15.75" thickBot="1">
      <c r="A152" s="10" t="s">
        <v>28</v>
      </c>
      <c r="B152" s="10" t="s">
        <v>29</v>
      </c>
      <c r="C152" s="10" t="s">
        <v>30</v>
      </c>
      <c r="D152" s="10" t="s">
        <v>31</v>
      </c>
      <c r="E152" s="10" t="s">
        <v>32</v>
      </c>
    </row>
    <row r="153" spans="1:5" s="25" customFormat="1" ht="16.5" thickTop="1" thickBot="1">
      <c r="A153" s="19" t="s">
        <v>47</v>
      </c>
      <c r="B153" s="19" t="s">
        <v>48</v>
      </c>
      <c r="C153" s="19" t="s">
        <v>49</v>
      </c>
      <c r="D153" s="19">
        <v>1563</v>
      </c>
      <c r="E153" s="19" t="s">
        <v>299</v>
      </c>
    </row>
    <row r="154" spans="1:5" ht="15.75" thickBot="1">
      <c r="A154" s="12" t="s">
        <v>33</v>
      </c>
      <c r="B154" s="12" t="s">
        <v>34</v>
      </c>
      <c r="C154" s="12" t="s">
        <v>35</v>
      </c>
      <c r="D154" s="12">
        <v>1140</v>
      </c>
      <c r="E154" s="12"/>
    </row>
    <row r="155" spans="1:5" ht="15.75" thickBot="1">
      <c r="A155" s="11" t="s">
        <v>36</v>
      </c>
      <c r="B155" s="11" t="s">
        <v>37</v>
      </c>
      <c r="C155" s="11" t="s">
        <v>38</v>
      </c>
      <c r="D155" s="11">
        <v>326</v>
      </c>
      <c r="E155" s="11"/>
    </row>
    <row r="156" spans="1:5" ht="15.75" thickBot="1">
      <c r="A156" s="12" t="s">
        <v>36</v>
      </c>
      <c r="B156" s="12" t="s">
        <v>39</v>
      </c>
      <c r="C156" s="12" t="s">
        <v>40</v>
      </c>
      <c r="D156" s="12">
        <v>1200</v>
      </c>
      <c r="E156" s="12"/>
    </row>
    <row r="157" spans="1:5" ht="15.75" thickBot="1">
      <c r="A157" s="11" t="s">
        <v>41</v>
      </c>
      <c r="B157" s="11" t="s">
        <v>21</v>
      </c>
      <c r="C157" s="11" t="s">
        <v>42</v>
      </c>
      <c r="D157" s="11">
        <v>20</v>
      </c>
      <c r="E157" s="11"/>
    </row>
    <row r="158" spans="1:5" ht="15.75" thickBot="1">
      <c r="A158" s="12" t="s">
        <v>41</v>
      </c>
      <c r="B158" s="12" t="s">
        <v>33</v>
      </c>
      <c r="C158" s="12" t="s">
        <v>40</v>
      </c>
      <c r="D158" s="12">
        <v>2320</v>
      </c>
      <c r="E158" s="12"/>
    </row>
    <row r="159" spans="1:5" ht="15.75" thickBot="1">
      <c r="A159" s="11" t="s">
        <v>41</v>
      </c>
      <c r="B159" s="11" t="s">
        <v>33</v>
      </c>
      <c r="C159" s="11" t="s">
        <v>40</v>
      </c>
      <c r="D159" s="11">
        <v>560</v>
      </c>
      <c r="E159" s="11"/>
    </row>
    <row r="160" spans="1:5" ht="15.75" thickBot="1">
      <c r="A160" s="12" t="s">
        <v>41</v>
      </c>
      <c r="B160" s="12" t="s">
        <v>43</v>
      </c>
      <c r="C160" s="12" t="s">
        <v>35</v>
      </c>
      <c r="D160" s="12">
        <v>525</v>
      </c>
      <c r="E160" s="12"/>
    </row>
    <row r="161" spans="1:5" ht="15.75" thickBot="1">
      <c r="A161" s="11" t="s">
        <v>44</v>
      </c>
      <c r="B161" s="11" t="s">
        <v>21</v>
      </c>
      <c r="C161" s="11" t="s">
        <v>40</v>
      </c>
      <c r="D161" s="11">
        <v>400</v>
      </c>
      <c r="E161" s="11"/>
    </row>
    <row r="162" spans="1:5" ht="15.75" thickBot="1">
      <c r="A162" s="12" t="s">
        <v>45</v>
      </c>
      <c r="B162" s="12" t="s">
        <v>46</v>
      </c>
      <c r="C162" s="12" t="s">
        <v>35</v>
      </c>
      <c r="D162" s="12">
        <v>55</v>
      </c>
      <c r="E162" s="12"/>
    </row>
    <row r="163" spans="1:5" ht="15.75" thickBot="1">
      <c r="A163" s="12" t="s">
        <v>50</v>
      </c>
      <c r="B163" s="12" t="s">
        <v>51</v>
      </c>
      <c r="C163" s="12" t="s">
        <v>35</v>
      </c>
      <c r="D163" s="12">
        <v>80</v>
      </c>
      <c r="E163" s="12"/>
    </row>
    <row r="164" spans="1:5" ht="15.75" thickBot="1">
      <c r="A164" s="11" t="s">
        <v>143</v>
      </c>
      <c r="B164" s="11" t="s">
        <v>56</v>
      </c>
      <c r="C164" s="11" t="s">
        <v>100</v>
      </c>
      <c r="D164" s="11">
        <v>120</v>
      </c>
      <c r="E164" s="11"/>
    </row>
    <row r="165" spans="1:5" ht="15.75" thickBot="1">
      <c r="A165" s="12" t="s">
        <v>144</v>
      </c>
      <c r="B165" s="12" t="s">
        <v>145</v>
      </c>
      <c r="C165" s="12" t="s">
        <v>42</v>
      </c>
      <c r="D165" s="12">
        <v>10</v>
      </c>
      <c r="E165" s="12"/>
    </row>
    <row r="166" spans="1:5" ht="15.75" thickBot="1">
      <c r="A166" s="11" t="s">
        <v>146</v>
      </c>
      <c r="B166" s="11" t="s">
        <v>147</v>
      </c>
      <c r="C166" s="11" t="s">
        <v>79</v>
      </c>
      <c r="D166" s="11">
        <v>15</v>
      </c>
      <c r="E166" s="11"/>
    </row>
    <row r="167" spans="1:5" ht="15.75" thickBot="1">
      <c r="A167" s="12" t="s">
        <v>148</v>
      </c>
      <c r="B167" s="12" t="s">
        <v>149</v>
      </c>
      <c r="C167" s="12" t="s">
        <v>150</v>
      </c>
      <c r="D167" s="12">
        <v>60</v>
      </c>
      <c r="E167" s="12"/>
    </row>
    <row r="168" spans="1:5" ht="15.75" thickBot="1">
      <c r="A168" s="11" t="s">
        <v>151</v>
      </c>
      <c r="B168" s="11" t="s">
        <v>18</v>
      </c>
      <c r="C168" s="11" t="s">
        <v>86</v>
      </c>
      <c r="D168" s="11">
        <v>200</v>
      </c>
      <c r="E168" s="11"/>
    </row>
    <row r="169" spans="1:5" ht="15.75" thickBot="1">
      <c r="A169" s="12" t="s">
        <v>151</v>
      </c>
      <c r="B169" s="12" t="s">
        <v>18</v>
      </c>
      <c r="C169" s="12" t="s">
        <v>86</v>
      </c>
      <c r="D169" s="12">
        <v>200</v>
      </c>
      <c r="E169" s="12"/>
    </row>
    <row r="170" spans="1:5" ht="15.75" thickBot="1">
      <c r="A170" s="11" t="s">
        <v>152</v>
      </c>
      <c r="B170" s="11" t="s">
        <v>56</v>
      </c>
      <c r="C170" s="11" t="s">
        <v>100</v>
      </c>
      <c r="D170" s="11">
        <v>30</v>
      </c>
      <c r="E170" s="11"/>
    </row>
    <row r="171" spans="1:5" ht="15.75" thickBot="1">
      <c r="A171" s="12" t="s">
        <v>153</v>
      </c>
      <c r="B171" s="12" t="s">
        <v>18</v>
      </c>
      <c r="C171" s="12" t="s">
        <v>94</v>
      </c>
      <c r="D171" s="12">
        <v>3000</v>
      </c>
      <c r="E171" s="12"/>
    </row>
    <row r="172" spans="1:5" ht="15.75" thickBot="1">
      <c r="A172" s="11" t="s">
        <v>154</v>
      </c>
      <c r="B172" s="11" t="s">
        <v>18</v>
      </c>
      <c r="C172" s="11" t="s">
        <v>83</v>
      </c>
      <c r="D172" s="11">
        <v>4</v>
      </c>
      <c r="E172" s="11"/>
    </row>
    <row r="173" spans="1:5" ht="15.75" thickBot="1">
      <c r="A173" s="12" t="s">
        <v>155</v>
      </c>
      <c r="B173" s="12" t="s">
        <v>21</v>
      </c>
      <c r="C173" s="12" t="s">
        <v>82</v>
      </c>
      <c r="D173" s="12">
        <v>60</v>
      </c>
      <c r="E173" s="12"/>
    </row>
    <row r="174" spans="1:5" ht="15.75" thickBot="1">
      <c r="A174" s="11" t="s">
        <v>155</v>
      </c>
      <c r="B174" s="11" t="s">
        <v>21</v>
      </c>
      <c r="C174" s="11" t="s">
        <v>83</v>
      </c>
      <c r="D174" s="11">
        <v>12</v>
      </c>
      <c r="E174" s="11"/>
    </row>
    <row r="175" spans="1:5" ht="15.75" thickBot="1">
      <c r="A175" s="12" t="s">
        <v>156</v>
      </c>
      <c r="B175" s="12" t="s">
        <v>21</v>
      </c>
      <c r="C175" s="12" t="s">
        <v>40</v>
      </c>
      <c r="D175" s="12">
        <v>80</v>
      </c>
      <c r="E175" s="12"/>
    </row>
    <row r="176" spans="1:5" ht="15.75" thickBot="1">
      <c r="A176" s="11" t="s">
        <v>157</v>
      </c>
      <c r="B176" s="11" t="s">
        <v>158</v>
      </c>
      <c r="C176" s="11" t="s">
        <v>110</v>
      </c>
      <c r="D176" s="11">
        <v>1000</v>
      </c>
      <c r="E176" s="11"/>
    </row>
    <row r="177" spans="1:5" ht="15.75" thickBot="1">
      <c r="A177" s="12" t="s">
        <v>159</v>
      </c>
      <c r="B177" s="12" t="s">
        <v>160</v>
      </c>
      <c r="C177" s="12" t="s">
        <v>150</v>
      </c>
      <c r="D177" s="12">
        <v>7380</v>
      </c>
      <c r="E177" s="12"/>
    </row>
    <row r="178" spans="1:5" ht="15.75" thickBot="1">
      <c r="A178" s="11" t="s">
        <v>161</v>
      </c>
      <c r="B178" s="11" t="s">
        <v>162</v>
      </c>
      <c r="C178" s="11" t="s">
        <v>49</v>
      </c>
      <c r="D178" s="11">
        <v>2010</v>
      </c>
      <c r="E178" s="11"/>
    </row>
    <row r="179" spans="1:5" ht="15.75" thickBot="1">
      <c r="A179" s="12" t="s">
        <v>161</v>
      </c>
      <c r="B179" s="12" t="s">
        <v>21</v>
      </c>
      <c r="C179" s="12" t="s">
        <v>49</v>
      </c>
      <c r="D179" s="12">
        <v>75</v>
      </c>
      <c r="E179" s="12"/>
    </row>
    <row r="180" spans="1:5" ht="15.75" thickBot="1">
      <c r="A180" s="11" t="s">
        <v>161</v>
      </c>
      <c r="B180" s="11" t="s">
        <v>21</v>
      </c>
      <c r="C180" s="11" t="s">
        <v>163</v>
      </c>
      <c r="D180" s="11">
        <v>75</v>
      </c>
      <c r="E180" s="11"/>
    </row>
    <row r="181" spans="1:5" ht="15.75" thickBot="1">
      <c r="A181" s="12" t="s">
        <v>164</v>
      </c>
      <c r="B181" s="12" t="s">
        <v>21</v>
      </c>
      <c r="C181" s="12" t="s">
        <v>86</v>
      </c>
      <c r="D181" s="12">
        <v>208</v>
      </c>
      <c r="E181" s="12"/>
    </row>
    <row r="182" spans="1:5" ht="15.75" thickBot="1">
      <c r="A182" s="11" t="s">
        <v>164</v>
      </c>
      <c r="B182" s="11" t="s">
        <v>21</v>
      </c>
      <c r="C182" s="11" t="s">
        <v>82</v>
      </c>
      <c r="D182" s="11">
        <v>40</v>
      </c>
      <c r="E182" s="11"/>
    </row>
    <row r="183" spans="1:5" ht="15.75" thickBot="1">
      <c r="A183" s="12" t="s">
        <v>164</v>
      </c>
      <c r="B183" s="12" t="s">
        <v>18</v>
      </c>
      <c r="C183" s="12" t="s">
        <v>110</v>
      </c>
      <c r="D183" s="12">
        <v>1000</v>
      </c>
      <c r="E183" s="12"/>
    </row>
    <row r="184" spans="1:5" ht="15.75" thickBot="1">
      <c r="A184" s="11" t="s">
        <v>164</v>
      </c>
      <c r="B184" s="11" t="s">
        <v>21</v>
      </c>
      <c r="C184" s="11" t="s">
        <v>82</v>
      </c>
      <c r="D184" s="11">
        <v>724</v>
      </c>
      <c r="E184" s="11"/>
    </row>
    <row r="185" spans="1:5" ht="15.75" thickBot="1">
      <c r="A185" s="12" t="s">
        <v>164</v>
      </c>
      <c r="B185" s="12" t="s">
        <v>21</v>
      </c>
      <c r="C185" s="12" t="s">
        <v>86</v>
      </c>
      <c r="D185" s="12">
        <v>208</v>
      </c>
      <c r="E185" s="12"/>
    </row>
    <row r="186" spans="1:5" ht="15.75" thickBot="1">
      <c r="A186" s="11" t="s">
        <v>164</v>
      </c>
      <c r="B186" s="11" t="s">
        <v>21</v>
      </c>
      <c r="C186" s="11" t="s">
        <v>49</v>
      </c>
      <c r="D186" s="11">
        <v>708</v>
      </c>
      <c r="E186" s="11"/>
    </row>
    <row r="187" spans="1:5" ht="15.75" thickBot="1">
      <c r="A187" s="12" t="s">
        <v>164</v>
      </c>
      <c r="B187" s="12" t="s">
        <v>56</v>
      </c>
      <c r="C187" s="12" t="s">
        <v>100</v>
      </c>
      <c r="D187" s="12">
        <v>800</v>
      </c>
      <c r="E187" s="12"/>
    </row>
    <row r="188" spans="1:5" ht="15.75" thickBot="1">
      <c r="A188" s="11" t="s">
        <v>164</v>
      </c>
      <c r="B188" s="11" t="s">
        <v>56</v>
      </c>
      <c r="C188" s="11" t="s">
        <v>100</v>
      </c>
      <c r="D188" s="11">
        <v>937</v>
      </c>
      <c r="E188" s="11"/>
    </row>
    <row r="189" spans="1:5" ht="15.75" thickBot="1">
      <c r="A189" s="12" t="s">
        <v>164</v>
      </c>
      <c r="B189" s="12" t="s">
        <v>165</v>
      </c>
      <c r="C189" s="12" t="s">
        <v>166</v>
      </c>
      <c r="D189" s="12">
        <v>20</v>
      </c>
      <c r="E189" s="12"/>
    </row>
    <row r="190" spans="1:5" ht="15.75" thickBot="1">
      <c r="A190" s="11" t="s">
        <v>164</v>
      </c>
      <c r="B190" s="11" t="s">
        <v>56</v>
      </c>
      <c r="C190" s="11" t="s">
        <v>57</v>
      </c>
      <c r="D190" s="11">
        <v>110</v>
      </c>
      <c r="E190" s="11"/>
    </row>
    <row r="191" spans="1:5" ht="15.75" thickBot="1">
      <c r="A191" s="12" t="s">
        <v>164</v>
      </c>
      <c r="B191" s="12" t="s">
        <v>18</v>
      </c>
      <c r="C191" s="12" t="s">
        <v>70</v>
      </c>
      <c r="D191" s="12">
        <v>4050</v>
      </c>
      <c r="E191" s="12"/>
    </row>
    <row r="192" spans="1:5" ht="15.75" thickBot="1">
      <c r="A192" s="11" t="s">
        <v>164</v>
      </c>
      <c r="B192" s="11" t="s">
        <v>21</v>
      </c>
      <c r="C192" s="11" t="s">
        <v>49</v>
      </c>
      <c r="D192" s="11">
        <v>243</v>
      </c>
      <c r="E192" s="11"/>
    </row>
    <row r="193" spans="1:5" ht="15.75" thickBot="1">
      <c r="A193" s="12" t="s">
        <v>164</v>
      </c>
      <c r="B193" s="12" t="s">
        <v>18</v>
      </c>
      <c r="C193" s="12" t="s">
        <v>167</v>
      </c>
      <c r="D193" s="12">
        <v>120</v>
      </c>
      <c r="E193" s="12"/>
    </row>
    <row r="194" spans="1:5" ht="15.75" thickBot="1">
      <c r="A194" s="11" t="s">
        <v>168</v>
      </c>
      <c r="B194" s="11" t="s">
        <v>21</v>
      </c>
      <c r="C194" s="11" t="s">
        <v>86</v>
      </c>
      <c r="D194" s="11">
        <v>264</v>
      </c>
      <c r="E194" s="11"/>
    </row>
    <row r="195" spans="1:5" ht="15.75" thickBot="1">
      <c r="A195" s="12" t="s">
        <v>169</v>
      </c>
      <c r="B195" s="12" t="s">
        <v>21</v>
      </c>
      <c r="C195" s="12" t="s">
        <v>86</v>
      </c>
      <c r="D195" s="12">
        <v>264</v>
      </c>
      <c r="E195" s="12"/>
    </row>
    <row r="196" spans="1:5" ht="15.75" thickBot="1">
      <c r="A196" s="11" t="s">
        <v>170</v>
      </c>
      <c r="B196" s="11" t="s">
        <v>171</v>
      </c>
      <c r="C196" s="11" t="s">
        <v>172</v>
      </c>
      <c r="D196" s="11">
        <v>320</v>
      </c>
      <c r="E196" s="11"/>
    </row>
    <row r="197" spans="1:5" ht="15.75" thickBot="1">
      <c r="A197" s="12" t="s">
        <v>173</v>
      </c>
      <c r="B197" s="12" t="s">
        <v>18</v>
      </c>
      <c r="C197" s="12" t="s">
        <v>38</v>
      </c>
      <c r="D197" s="12">
        <v>31</v>
      </c>
      <c r="E197" s="12"/>
    </row>
    <row r="198" spans="1:5" ht="15.75" thickBot="1">
      <c r="A198" s="11" t="s">
        <v>173</v>
      </c>
      <c r="B198" s="11" t="s">
        <v>174</v>
      </c>
      <c r="C198" s="11" t="s">
        <v>77</v>
      </c>
      <c r="D198" s="11">
        <v>74</v>
      </c>
      <c r="E198" s="11"/>
    </row>
    <row r="199" spans="1:5" ht="15.75" thickBot="1">
      <c r="A199" s="12" t="s">
        <v>175</v>
      </c>
      <c r="B199" s="12" t="s">
        <v>176</v>
      </c>
      <c r="C199" s="12" t="s">
        <v>177</v>
      </c>
      <c r="D199" s="12">
        <v>400</v>
      </c>
      <c r="E199" s="12"/>
    </row>
    <row r="200" spans="1:5" ht="15.75" thickBot="1">
      <c r="A200" s="11" t="s">
        <v>175</v>
      </c>
      <c r="B200" s="11" t="s">
        <v>178</v>
      </c>
      <c r="C200" s="11" t="s">
        <v>119</v>
      </c>
      <c r="D200" s="11">
        <v>1140</v>
      </c>
      <c r="E200" s="11"/>
    </row>
    <row r="201" spans="1:5" ht="15.75" thickBot="1">
      <c r="A201" s="12" t="s">
        <v>175</v>
      </c>
      <c r="B201" s="12" t="s">
        <v>178</v>
      </c>
      <c r="C201" s="12" t="s">
        <v>119</v>
      </c>
      <c r="D201" s="12">
        <v>1140</v>
      </c>
      <c r="E201" s="12"/>
    </row>
    <row r="202" spans="1:5" ht="15.75" thickBot="1">
      <c r="A202" s="11" t="s">
        <v>179</v>
      </c>
      <c r="B202" s="11" t="s">
        <v>18</v>
      </c>
      <c r="C202" s="11" t="s">
        <v>49</v>
      </c>
      <c r="D202" s="11">
        <v>15</v>
      </c>
      <c r="E202" s="11"/>
    </row>
    <row r="203" spans="1:5" ht="15.75" thickBot="1">
      <c r="A203" s="12" t="s">
        <v>180</v>
      </c>
      <c r="B203" s="12" t="s">
        <v>18</v>
      </c>
      <c r="C203" s="12" t="s">
        <v>167</v>
      </c>
      <c r="D203" s="12">
        <v>1200</v>
      </c>
      <c r="E203" s="12"/>
    </row>
    <row r="204" spans="1:5" ht="15.75" thickBot="1">
      <c r="A204" s="11" t="s">
        <v>180</v>
      </c>
      <c r="B204" s="11" t="s">
        <v>165</v>
      </c>
      <c r="C204" s="11" t="s">
        <v>166</v>
      </c>
      <c r="D204" s="11">
        <v>20</v>
      </c>
      <c r="E204" s="11"/>
    </row>
    <row r="205" spans="1:5" ht="15.75" thickBot="1">
      <c r="A205" s="12" t="s">
        <v>180</v>
      </c>
      <c r="B205" s="12" t="s">
        <v>18</v>
      </c>
      <c r="C205" s="12" t="s">
        <v>110</v>
      </c>
      <c r="D205" s="12">
        <v>2250</v>
      </c>
      <c r="E205" s="12"/>
    </row>
    <row r="206" spans="1:5" ht="15.75" thickBot="1">
      <c r="A206" s="11" t="s">
        <v>180</v>
      </c>
      <c r="B206" s="11" t="s">
        <v>21</v>
      </c>
      <c r="C206" s="11" t="s">
        <v>181</v>
      </c>
      <c r="D206" s="11">
        <v>435</v>
      </c>
      <c r="E206" s="11"/>
    </row>
    <row r="207" spans="1:5" ht="15.75" thickBot="1">
      <c r="A207" s="12" t="s">
        <v>180</v>
      </c>
      <c r="B207" s="12" t="s">
        <v>56</v>
      </c>
      <c r="C207" s="12" t="s">
        <v>100</v>
      </c>
      <c r="D207" s="12">
        <v>575</v>
      </c>
      <c r="E207" s="12"/>
    </row>
    <row r="208" spans="1:5" ht="15.75" thickBot="1">
      <c r="A208" s="11" t="s">
        <v>180</v>
      </c>
      <c r="B208" s="11" t="s">
        <v>21</v>
      </c>
      <c r="C208" s="11" t="s">
        <v>82</v>
      </c>
      <c r="D208" s="11">
        <v>60</v>
      </c>
      <c r="E208" s="11"/>
    </row>
    <row r="209" spans="1:5" ht="15.75" thickBot="1">
      <c r="A209" s="12" t="s">
        <v>180</v>
      </c>
      <c r="B209" s="12" t="s">
        <v>56</v>
      </c>
      <c r="C209" s="12" t="s">
        <v>57</v>
      </c>
      <c r="D209" s="12">
        <v>40</v>
      </c>
      <c r="E209" s="12"/>
    </row>
    <row r="210" spans="1:5" ht="15.75" thickBot="1">
      <c r="A210" s="11" t="s">
        <v>182</v>
      </c>
      <c r="B210" s="11" t="s">
        <v>56</v>
      </c>
      <c r="C210" s="11" t="s">
        <v>57</v>
      </c>
      <c r="D210" s="11">
        <v>160</v>
      </c>
      <c r="E210" s="11"/>
    </row>
    <row r="211" spans="1:5" ht="15.75" thickBot="1">
      <c r="A211" s="12" t="s">
        <v>182</v>
      </c>
      <c r="B211" s="12" t="s">
        <v>56</v>
      </c>
      <c r="C211" s="12" t="s">
        <v>57</v>
      </c>
      <c r="D211" s="12">
        <v>160</v>
      </c>
      <c r="E211" s="12"/>
    </row>
    <row r="212" spans="1:5" ht="15.75" thickBot="1">
      <c r="A212" s="11" t="s">
        <v>183</v>
      </c>
      <c r="B212" s="11" t="s">
        <v>184</v>
      </c>
      <c r="C212" s="11" t="s">
        <v>49</v>
      </c>
      <c r="D212" s="11">
        <v>15</v>
      </c>
      <c r="E212" s="11"/>
    </row>
    <row r="213" spans="1:5" ht="15.75" thickBot="1">
      <c r="A213" s="12" t="s">
        <v>185</v>
      </c>
      <c r="B213" s="12" t="s">
        <v>18</v>
      </c>
      <c r="C213" s="12" t="s">
        <v>110</v>
      </c>
      <c r="D213" s="12">
        <v>850</v>
      </c>
      <c r="E213" s="12"/>
    </row>
    <row r="214" spans="1:5" ht="15.75" thickBot="1">
      <c r="A214" s="11" t="s">
        <v>186</v>
      </c>
      <c r="B214" s="11" t="s">
        <v>18</v>
      </c>
      <c r="C214" s="11" t="s">
        <v>94</v>
      </c>
      <c r="D214" s="11">
        <v>300</v>
      </c>
      <c r="E214" s="11"/>
    </row>
    <row r="215" spans="1:5" ht="15.75" thickBot="1">
      <c r="A215" s="12" t="s">
        <v>187</v>
      </c>
      <c r="B215" s="12" t="s">
        <v>188</v>
      </c>
      <c r="C215" s="12" t="s">
        <v>189</v>
      </c>
      <c r="D215" s="12">
        <v>25</v>
      </c>
      <c r="E215" s="12"/>
    </row>
    <row r="216" spans="1:5" ht="15.75" thickBot="1">
      <c r="A216" s="11" t="s">
        <v>190</v>
      </c>
      <c r="B216" s="11" t="s">
        <v>191</v>
      </c>
      <c r="C216" s="11" t="s">
        <v>177</v>
      </c>
      <c r="D216" s="11">
        <v>1600</v>
      </c>
      <c r="E216" s="11"/>
    </row>
    <row r="217" spans="1:5" ht="15.75" thickBot="1">
      <c r="A217" s="12" t="s">
        <v>192</v>
      </c>
      <c r="B217" s="12" t="s">
        <v>56</v>
      </c>
      <c r="C217" s="12" t="s">
        <v>100</v>
      </c>
      <c r="D217" s="12">
        <v>10</v>
      </c>
      <c r="E217" s="12"/>
    </row>
    <row r="218" spans="1:5" ht="15.75" thickBot="1">
      <c r="A218" s="12" t="s">
        <v>193</v>
      </c>
      <c r="B218" s="12" t="s">
        <v>21</v>
      </c>
      <c r="C218" s="12" t="s">
        <v>49</v>
      </c>
      <c r="D218" s="12">
        <v>30</v>
      </c>
      <c r="E218" s="12"/>
    </row>
    <row r="219" spans="1:5" ht="15.75" thickBot="1">
      <c r="A219" s="11" t="s">
        <v>194</v>
      </c>
      <c r="B219" s="11" t="s">
        <v>21</v>
      </c>
      <c r="C219" s="11" t="s">
        <v>195</v>
      </c>
      <c r="D219" s="11">
        <v>215</v>
      </c>
      <c r="E219" s="11"/>
    </row>
    <row r="220" spans="1:5" ht="15.75" thickBot="1">
      <c r="A220" s="12" t="s">
        <v>194</v>
      </c>
      <c r="B220" s="12" t="s">
        <v>196</v>
      </c>
      <c r="C220" s="12" t="s">
        <v>197</v>
      </c>
      <c r="D220" s="12">
        <v>1000</v>
      </c>
      <c r="E220" s="12"/>
    </row>
    <row r="221" spans="1:5" ht="15.75" thickBot="1">
      <c r="A221" s="11" t="s">
        <v>194</v>
      </c>
      <c r="B221" s="11" t="s">
        <v>196</v>
      </c>
      <c r="C221" s="11" t="s">
        <v>197</v>
      </c>
      <c r="D221" s="11">
        <v>1000</v>
      </c>
      <c r="E221" s="11"/>
    </row>
    <row r="222" spans="1:5" ht="15.75" thickBot="1">
      <c r="A222" s="12" t="s">
        <v>198</v>
      </c>
      <c r="B222" s="12" t="s">
        <v>63</v>
      </c>
      <c r="C222" s="12" t="s">
        <v>35</v>
      </c>
      <c r="D222" s="12">
        <v>15</v>
      </c>
      <c r="E222" s="12"/>
    </row>
    <row r="223" spans="1:5" ht="15.75" thickBot="1">
      <c r="A223" s="12" t="s">
        <v>199</v>
      </c>
      <c r="B223" s="12" t="s">
        <v>200</v>
      </c>
      <c r="C223" s="12" t="s">
        <v>54</v>
      </c>
      <c r="D223" s="12">
        <v>9</v>
      </c>
      <c r="E223" s="12"/>
    </row>
    <row r="224" spans="1:5" ht="15.75" thickBot="1">
      <c r="A224" s="11" t="s">
        <v>201</v>
      </c>
      <c r="B224" s="11" t="s">
        <v>56</v>
      </c>
      <c r="C224" s="11" t="s">
        <v>100</v>
      </c>
      <c r="D224" s="11">
        <v>10</v>
      </c>
      <c r="E224" s="11"/>
    </row>
    <row r="225" spans="1:5" ht="15.75" thickBot="1">
      <c r="A225" s="12" t="s">
        <v>281</v>
      </c>
      <c r="B225" s="12" t="s">
        <v>282</v>
      </c>
      <c r="C225" s="12" t="s">
        <v>283</v>
      </c>
      <c r="D225" s="12">
        <v>100</v>
      </c>
      <c r="E225" s="12"/>
    </row>
    <row r="226" spans="1:5" ht="15.75" thickBot="1">
      <c r="A226" s="12" t="s">
        <v>284</v>
      </c>
      <c r="B226" s="12" t="s">
        <v>285</v>
      </c>
      <c r="C226" s="12" t="s">
        <v>54</v>
      </c>
      <c r="D226" s="12">
        <v>10</v>
      </c>
      <c r="E226" s="12"/>
    </row>
    <row r="227" spans="1:5" ht="15.75" thickBot="1">
      <c r="A227" s="11" t="s">
        <v>284</v>
      </c>
      <c r="B227" s="11" t="s">
        <v>21</v>
      </c>
      <c r="C227" s="11" t="s">
        <v>83</v>
      </c>
      <c r="D227" s="11">
        <v>1</v>
      </c>
      <c r="E227" s="11"/>
    </row>
    <row r="228" spans="1:5" ht="15.75" thickBot="1">
      <c r="A228" s="12" t="s">
        <v>286</v>
      </c>
      <c r="B228" s="12" t="s">
        <v>21</v>
      </c>
      <c r="C228" s="12" t="s">
        <v>287</v>
      </c>
      <c r="D228" s="12">
        <v>620</v>
      </c>
      <c r="E228" s="12"/>
    </row>
    <row r="229" spans="1:5" ht="15.75" thickBot="1">
      <c r="A229" s="11" t="s">
        <v>288</v>
      </c>
      <c r="B229" s="11" t="s">
        <v>289</v>
      </c>
      <c r="C229" s="11" t="s">
        <v>49</v>
      </c>
      <c r="D229" s="11">
        <v>1560</v>
      </c>
      <c r="E229" s="11"/>
    </row>
    <row r="230" spans="1:5" ht="15.75" thickBot="1">
      <c r="A230" s="12" t="s">
        <v>290</v>
      </c>
      <c r="B230" s="12" t="s">
        <v>291</v>
      </c>
      <c r="C230" s="12" t="s">
        <v>49</v>
      </c>
      <c r="D230" s="12">
        <v>1110</v>
      </c>
      <c r="E230" s="12"/>
    </row>
    <row r="231" spans="1:5" ht="15.75" thickBot="1">
      <c r="A231" s="11" t="s">
        <v>292</v>
      </c>
      <c r="B231" s="11" t="s">
        <v>56</v>
      </c>
      <c r="C231" s="11" t="s">
        <v>57</v>
      </c>
      <c r="D231" s="11">
        <v>8</v>
      </c>
      <c r="E231" s="11"/>
    </row>
    <row r="232" spans="1:5" ht="15.75" thickBot="1">
      <c r="A232" s="12" t="s">
        <v>293</v>
      </c>
      <c r="B232" s="12" t="s">
        <v>21</v>
      </c>
      <c r="C232" s="12" t="s">
        <v>294</v>
      </c>
      <c r="D232" s="12">
        <v>25</v>
      </c>
      <c r="E232" s="12"/>
    </row>
    <row r="233" spans="1:5" ht="15.75" thickBot="1">
      <c r="A233" s="11" t="s">
        <v>293</v>
      </c>
      <c r="B233" s="11" t="s">
        <v>21</v>
      </c>
      <c r="C233" s="11" t="s">
        <v>295</v>
      </c>
      <c r="D233" s="11">
        <v>13</v>
      </c>
      <c r="E233" s="11"/>
    </row>
    <row r="234" spans="1:5" ht="15.75" thickBot="1">
      <c r="A234" s="12" t="s">
        <v>293</v>
      </c>
      <c r="B234" s="12" t="s">
        <v>296</v>
      </c>
      <c r="C234" s="12" t="s">
        <v>297</v>
      </c>
      <c r="D234" s="12">
        <v>150</v>
      </c>
      <c r="E234" s="12"/>
    </row>
    <row r="235" spans="1:5" ht="15.75" thickBot="1">
      <c r="A235" s="126" t="s">
        <v>298</v>
      </c>
      <c r="B235" s="127"/>
      <c r="C235" s="127"/>
      <c r="D235" s="127"/>
      <c r="E235" s="128"/>
    </row>
  </sheetData>
  <mergeCells count="1">
    <mergeCell ref="A235:E2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0"/>
  <sheetViews>
    <sheetView workbookViewId="0">
      <selection activeCell="K25" sqref="K25"/>
    </sheetView>
  </sheetViews>
  <sheetFormatPr defaultRowHeight="15"/>
  <cols>
    <col min="2" max="3" width="30.140625" bestFit="1" customWidth="1"/>
    <col min="4" max="4" width="23.5703125" customWidth="1"/>
    <col min="6" max="6" width="14.85546875" bestFit="1" customWidth="1"/>
    <col min="7" max="7" width="13.5703125" customWidth="1"/>
    <col min="9" max="9" width="11.5703125" bestFit="1" customWidth="1"/>
  </cols>
  <sheetData>
    <row r="1" spans="1:10" ht="15.75" thickBot="1">
      <c r="A1" s="16" t="s">
        <v>32</v>
      </c>
      <c r="B1" s="16" t="s">
        <v>203</v>
      </c>
      <c r="C1" s="16" t="s">
        <v>204</v>
      </c>
      <c r="D1" s="16" t="s">
        <v>6</v>
      </c>
      <c r="E1" s="16" t="s">
        <v>7</v>
      </c>
      <c r="F1" s="16" t="s">
        <v>8</v>
      </c>
      <c r="G1" s="16" t="s">
        <v>205</v>
      </c>
    </row>
    <row r="2" spans="1:10" ht="15.75" thickBot="1">
      <c r="A2" s="17" t="s">
        <v>206</v>
      </c>
      <c r="B2" s="17" t="s">
        <v>33</v>
      </c>
      <c r="C2" s="18" t="s">
        <v>21</v>
      </c>
      <c r="D2" s="18" t="s">
        <v>214</v>
      </c>
      <c r="E2" s="18" t="s">
        <v>23</v>
      </c>
      <c r="F2" s="18" t="s">
        <v>208</v>
      </c>
      <c r="G2" s="18"/>
      <c r="H2" s="49" t="s">
        <v>228</v>
      </c>
      <c r="I2" s="80" t="s">
        <v>229</v>
      </c>
      <c r="J2" s="68" t="s">
        <v>237</v>
      </c>
    </row>
    <row r="3" spans="1:10" ht="15.75" thickBot="1">
      <c r="A3" s="17" t="s">
        <v>206</v>
      </c>
      <c r="B3" s="17" t="s">
        <v>33</v>
      </c>
      <c r="C3" s="18" t="s">
        <v>21</v>
      </c>
      <c r="D3" s="18" t="s">
        <v>215</v>
      </c>
      <c r="E3" s="18" t="s">
        <v>23</v>
      </c>
      <c r="F3" s="18" t="s">
        <v>208</v>
      </c>
      <c r="G3" s="18"/>
      <c r="H3" s="49" t="s">
        <v>228</v>
      </c>
      <c r="I3" s="47" t="s">
        <v>236</v>
      </c>
      <c r="J3" s="47" t="s">
        <v>237</v>
      </c>
    </row>
    <row r="4" spans="1:10" ht="15.75" thickBot="1">
      <c r="A4" s="17" t="s">
        <v>206</v>
      </c>
      <c r="B4" s="17" t="s">
        <v>33</v>
      </c>
      <c r="C4" s="18" t="s">
        <v>21</v>
      </c>
      <c r="D4" s="18" t="s">
        <v>219</v>
      </c>
      <c r="E4" s="18" t="s">
        <v>23</v>
      </c>
      <c r="F4" s="18" t="s">
        <v>208</v>
      </c>
      <c r="G4" s="18"/>
      <c r="H4" s="49" t="s">
        <v>228</v>
      </c>
      <c r="I4" s="80" t="s">
        <v>238</v>
      </c>
      <c r="J4" s="47" t="s">
        <v>237</v>
      </c>
    </row>
    <row r="5" spans="1:10" ht="15.75" thickBot="1">
      <c r="A5" s="17" t="s">
        <v>206</v>
      </c>
      <c r="B5" s="17" t="s">
        <v>33</v>
      </c>
      <c r="C5" s="18" t="s">
        <v>34</v>
      </c>
      <c r="D5" s="18" t="s">
        <v>221</v>
      </c>
      <c r="E5" s="18" t="s">
        <v>23</v>
      </c>
      <c r="F5" s="18" t="s">
        <v>208</v>
      </c>
      <c r="G5" s="18"/>
      <c r="H5">
        <v>278160</v>
      </c>
      <c r="I5" s="68" t="s">
        <v>359</v>
      </c>
      <c r="J5" s="47" t="s">
        <v>237</v>
      </c>
    </row>
    <row r="6" spans="1:10" ht="15.75" thickBot="1">
      <c r="A6" s="17" t="s">
        <v>206</v>
      </c>
      <c r="B6" s="17" t="s">
        <v>225</v>
      </c>
      <c r="C6" s="18" t="s">
        <v>21</v>
      </c>
      <c r="D6" s="18" t="s">
        <v>226</v>
      </c>
      <c r="E6" s="18" t="s">
        <v>23</v>
      </c>
      <c r="F6" s="18" t="s">
        <v>208</v>
      </c>
      <c r="G6" s="18" t="s">
        <v>227</v>
      </c>
      <c r="H6">
        <v>260960</v>
      </c>
    </row>
    <row r="8" spans="1:10" ht="15.75" thickBot="1">
      <c r="A8" s="48"/>
      <c r="B8" s="48"/>
      <c r="C8" s="48"/>
      <c r="D8" s="48"/>
      <c r="E8" s="48"/>
      <c r="F8" s="48"/>
      <c r="G8" s="48"/>
    </row>
    <row r="9" spans="1:10" ht="15.75" thickBot="1">
      <c r="A9" s="24" t="s">
        <v>32</v>
      </c>
      <c r="B9" s="24" t="s">
        <v>203</v>
      </c>
      <c r="C9" s="24" t="s">
        <v>204</v>
      </c>
      <c r="D9" s="24" t="s">
        <v>6</v>
      </c>
      <c r="E9" s="24" t="s">
        <v>7</v>
      </c>
      <c r="F9" s="24" t="s">
        <v>8</v>
      </c>
      <c r="G9" s="24" t="s">
        <v>205</v>
      </c>
      <c r="I9" s="80" t="s">
        <v>229</v>
      </c>
      <c r="J9" s="47" t="s">
        <v>230</v>
      </c>
    </row>
    <row r="10" spans="1:10" ht="15.75" thickBot="1">
      <c r="A10" s="17" t="s">
        <v>206</v>
      </c>
      <c r="B10" s="17" t="s">
        <v>47</v>
      </c>
      <c r="C10" s="18" t="s">
        <v>18</v>
      </c>
      <c r="D10" s="18" t="s">
        <v>207</v>
      </c>
      <c r="E10" s="18" t="s">
        <v>23</v>
      </c>
      <c r="F10" s="18" t="s">
        <v>208</v>
      </c>
      <c r="G10" s="18"/>
      <c r="H10" s="49" t="s">
        <v>228</v>
      </c>
      <c r="I10" s="47" t="s">
        <v>236</v>
      </c>
      <c r="J10" s="47" t="s">
        <v>237</v>
      </c>
    </row>
    <row r="11" spans="1:10" ht="15.75" thickBot="1">
      <c r="A11" s="17" t="s">
        <v>206</v>
      </c>
      <c r="B11" s="17" t="s">
        <v>47</v>
      </c>
      <c r="C11" s="18" t="s">
        <v>48</v>
      </c>
      <c r="D11" s="18" t="s">
        <v>224</v>
      </c>
      <c r="E11" s="18" t="s">
        <v>23</v>
      </c>
      <c r="F11" s="18" t="s">
        <v>208</v>
      </c>
      <c r="G11" s="69"/>
      <c r="H11" s="49" t="s">
        <v>228</v>
      </c>
      <c r="I11" s="80" t="s">
        <v>238</v>
      </c>
      <c r="J11" s="47" t="s">
        <v>237</v>
      </c>
    </row>
    <row r="12" spans="1:10" ht="15.75" thickBot="1">
      <c r="A12" s="17" t="s">
        <v>206</v>
      </c>
      <c r="B12" s="17" t="s">
        <v>47</v>
      </c>
      <c r="C12" s="18" t="s">
        <v>48</v>
      </c>
      <c r="D12" s="18" t="s">
        <v>224</v>
      </c>
      <c r="E12" s="18" t="s">
        <v>23</v>
      </c>
      <c r="F12" s="18" t="s">
        <v>208</v>
      </c>
      <c r="G12" s="18"/>
      <c r="I12" s="68" t="s">
        <v>359</v>
      </c>
      <c r="J12" s="47" t="s">
        <v>237</v>
      </c>
    </row>
    <row r="13" spans="1:10">
      <c r="A13" s="46"/>
      <c r="B13" s="46"/>
      <c r="C13" s="47"/>
      <c r="D13" s="47"/>
      <c r="E13" s="47"/>
      <c r="F13" s="47"/>
      <c r="G13" s="47"/>
    </row>
    <row r="14" spans="1:10" ht="15.75" thickBot="1"/>
    <row r="15" spans="1:10" ht="15.75" thickBot="1">
      <c r="A15" s="17" t="s">
        <v>206</v>
      </c>
      <c r="B15" s="17" t="s">
        <v>209</v>
      </c>
      <c r="C15" s="18" t="s">
        <v>21</v>
      </c>
      <c r="D15" s="18" t="s">
        <v>210</v>
      </c>
      <c r="E15" s="18" t="s">
        <v>23</v>
      </c>
      <c r="F15" s="18" t="s">
        <v>208</v>
      </c>
      <c r="G15" s="18"/>
      <c r="I15" s="80" t="s">
        <v>229</v>
      </c>
      <c r="J15" s="47" t="s">
        <v>230</v>
      </c>
    </row>
    <row r="16" spans="1:10" ht="15.75" thickBot="1">
      <c r="A16" s="17" t="s">
        <v>206</v>
      </c>
      <c r="B16" s="17" t="s">
        <v>211</v>
      </c>
      <c r="C16" s="18" t="s">
        <v>212</v>
      </c>
      <c r="D16" s="18" t="s">
        <v>213</v>
      </c>
      <c r="E16" s="18" t="s">
        <v>23</v>
      </c>
      <c r="F16" s="18" t="s">
        <v>208</v>
      </c>
      <c r="G16" s="18"/>
      <c r="I16" s="47" t="s">
        <v>236</v>
      </c>
      <c r="J16" s="47" t="s">
        <v>237</v>
      </c>
    </row>
    <row r="17" spans="1:11" ht="15.75" thickBot="1">
      <c r="A17" s="17" t="s">
        <v>206</v>
      </c>
      <c r="B17" s="17" t="s">
        <v>209</v>
      </c>
      <c r="C17" s="18" t="s">
        <v>216</v>
      </c>
      <c r="D17" s="18" t="s">
        <v>217</v>
      </c>
      <c r="E17" s="18" t="s">
        <v>23</v>
      </c>
      <c r="F17" s="18" t="s">
        <v>208</v>
      </c>
      <c r="G17" s="18" t="s">
        <v>218</v>
      </c>
      <c r="I17" s="80" t="s">
        <v>238</v>
      </c>
      <c r="J17" s="47" t="s">
        <v>237</v>
      </c>
    </row>
    <row r="18" spans="1:11">
      <c r="I18" s="68" t="s">
        <v>359</v>
      </c>
      <c r="J18" s="47" t="s">
        <v>237</v>
      </c>
    </row>
    <row r="19" spans="1:11" ht="15.75" thickBot="1"/>
    <row r="20" spans="1:11" ht="15.75" thickBot="1">
      <c r="A20" s="17" t="s">
        <v>206</v>
      </c>
      <c r="B20" s="17" t="s">
        <v>41</v>
      </c>
      <c r="C20" s="18" t="s">
        <v>43</v>
      </c>
      <c r="D20" s="18" t="s">
        <v>220</v>
      </c>
      <c r="E20" s="18" t="s">
        <v>23</v>
      </c>
      <c r="F20" s="18" t="s">
        <v>208</v>
      </c>
      <c r="G20" s="18"/>
      <c r="I20" s="80" t="s">
        <v>229</v>
      </c>
      <c r="J20" s="47" t="s">
        <v>237</v>
      </c>
      <c r="K20" s="107" t="s">
        <v>504</v>
      </c>
    </row>
    <row r="21" spans="1:11" ht="15.75" thickBot="1">
      <c r="A21" s="17" t="s">
        <v>206</v>
      </c>
      <c r="B21" s="17" t="s">
        <v>41</v>
      </c>
      <c r="C21" s="18" t="s">
        <v>21</v>
      </c>
      <c r="D21" s="18" t="s">
        <v>222</v>
      </c>
      <c r="E21" s="18" t="s">
        <v>23</v>
      </c>
      <c r="F21" s="18" t="s">
        <v>208</v>
      </c>
      <c r="G21" s="18"/>
      <c r="I21" s="47" t="s">
        <v>236</v>
      </c>
      <c r="J21" s="47" t="s">
        <v>237</v>
      </c>
    </row>
    <row r="22" spans="1:11" ht="15.75" thickBot="1">
      <c r="A22" s="17" t="s">
        <v>206</v>
      </c>
      <c r="B22" s="17" t="s">
        <v>41</v>
      </c>
      <c r="C22" s="18" t="s">
        <v>33</v>
      </c>
      <c r="D22" s="18" t="s">
        <v>223</v>
      </c>
      <c r="E22" s="18" t="s">
        <v>23</v>
      </c>
      <c r="F22" s="18" t="s">
        <v>208</v>
      </c>
      <c r="G22" s="18"/>
      <c r="I22" s="80" t="s">
        <v>238</v>
      </c>
      <c r="J22" s="47" t="s">
        <v>237</v>
      </c>
    </row>
    <row r="23" spans="1:11" ht="15.75" thickBot="1">
      <c r="A23" s="17" t="s">
        <v>206</v>
      </c>
      <c r="B23" s="17" t="s">
        <v>41</v>
      </c>
      <c r="C23" s="18" t="s">
        <v>33</v>
      </c>
      <c r="D23" s="18" t="s">
        <v>223</v>
      </c>
      <c r="E23" s="18" t="s">
        <v>23</v>
      </c>
      <c r="F23" s="18" t="s">
        <v>208</v>
      </c>
      <c r="G23" s="18"/>
      <c r="I23" s="68" t="s">
        <v>359</v>
      </c>
      <c r="J23" s="47" t="s">
        <v>237</v>
      </c>
    </row>
    <row r="26" spans="1:11" ht="15.75" thickBot="1">
      <c r="A26" s="69"/>
      <c r="B26" s="69"/>
      <c r="C26" s="69"/>
      <c r="D26" s="69"/>
      <c r="E26" s="69"/>
      <c r="F26" s="69"/>
      <c r="G26" s="69"/>
    </row>
    <row r="27" spans="1:11" ht="15.75" thickBot="1">
      <c r="A27" s="16" t="s">
        <v>32</v>
      </c>
      <c r="B27" s="16" t="s">
        <v>203</v>
      </c>
      <c r="C27" s="16" t="s">
        <v>204</v>
      </c>
      <c r="D27" s="16" t="s">
        <v>6</v>
      </c>
      <c r="E27" s="16" t="s">
        <v>7</v>
      </c>
      <c r="F27" s="16" t="s">
        <v>8</v>
      </c>
      <c r="G27" s="16" t="s">
        <v>205</v>
      </c>
      <c r="I27" s="80" t="s">
        <v>229</v>
      </c>
      <c r="J27" s="47" t="s">
        <v>237</v>
      </c>
    </row>
    <row r="28" spans="1:11" ht="15.75" thickBot="1">
      <c r="A28" s="17" t="s">
        <v>206</v>
      </c>
      <c r="B28" s="17" t="s">
        <v>397</v>
      </c>
      <c r="C28" s="18" t="s">
        <v>302</v>
      </c>
      <c r="D28" s="18" t="s">
        <v>398</v>
      </c>
      <c r="E28" s="18" t="s">
        <v>23</v>
      </c>
      <c r="F28" s="18" t="s">
        <v>208</v>
      </c>
      <c r="G28" s="69"/>
      <c r="H28" s="70" t="s">
        <v>228</v>
      </c>
      <c r="I28" s="80" t="s">
        <v>236</v>
      </c>
      <c r="J28" s="47" t="s">
        <v>237</v>
      </c>
    </row>
    <row r="29" spans="1:11">
      <c r="I29" s="68" t="s">
        <v>238</v>
      </c>
      <c r="J29" s="47" t="s">
        <v>237</v>
      </c>
    </row>
    <row r="30" spans="1:11">
      <c r="I30" s="68" t="s">
        <v>359</v>
      </c>
      <c r="J30" s="47" t="s">
        <v>237</v>
      </c>
    </row>
  </sheetData>
  <hyperlinks>
    <hyperlink ref="A15" r:id="rId1" display="https://search.recoversy.in/result/?ID=eyJmaXJzdF9uYW1lIjoiU0hFSFJBIiwibWlkZGxlX25hbWUiOiJDQVdBU0pJIiwibGFzdF9uYW1lIjoiUEFUVUNLIiwicmVjb3ZlcnlfdmFsdWVzIjoiMTk4MjQwIiwiaWQiOiIyOTM5ODU1Iiwic3RhdGUiOiJNQUhBUkFTSFRSQSJ9" xr:uid="{00000000-0004-0000-0200-000000000000}"/>
    <hyperlink ref="B15" r:id="rId2" display="https://search.recoversy.in/result/?ID=eyJmaXJzdF9uYW1lIjoiU0hFSFJBIiwibWlkZGxlX25hbWUiOiJDQVdBU0pJIiwibGFzdF9uYW1lIjoiUEFUVUNLIiwicmVjb3ZlcnlfdmFsdWVzIjoiMTk4MjQwIiwiaWQiOiIyOTM5ODU1Iiwic3RhdGUiOiJNQUhBUkFTSFRSQSJ9" xr:uid="{00000000-0004-0000-0200-000001000000}"/>
    <hyperlink ref="A16" r:id="rId3" display="https://search.recoversy.in/result/?ID=eyJmaXJzdF9uYW1lIjoiU0FSQUgiLCJtaWRkbGVfbmFtZSI6IkNBV0FTSkkiLCJsYXN0X25hbWUiOiJQQVRVQ0siLCJyZWNvdmVyeV92YWx1ZXMiOiIxOTgyNDAiLCJpZCI6IjI5Mzk4NTAiLCJzdGF0ZSI6Ik1BSEFSQVNIVFJBIn0=" xr:uid="{00000000-0004-0000-0200-000002000000}"/>
    <hyperlink ref="B16" r:id="rId4" display="https://search.recoversy.in/result/?ID=eyJmaXJzdF9uYW1lIjoiU0FSQUgiLCJtaWRkbGVfbmFtZSI6IkNBV0FTSkkiLCJsYXN0X25hbWUiOiJQQVRVQ0siLCJyZWNvdmVyeV92YWx1ZXMiOiIxOTgyNDAiLCJpZCI6IjI5Mzk4NTAiLCJzdGF0ZSI6Ik1BSEFSQVNIVFJBIn0=" xr:uid="{00000000-0004-0000-0200-000003000000}"/>
    <hyperlink ref="A2" r:id="rId5" display="https://search.recoversy.in/result/?ID=eyJmaXJzdF9uYW1lIjoiQ0FXQVNKSSIsIm1pZGRsZV9uYW1lIjoiTlVTU0VSV0FOSkkiLCJsYXN0X25hbWUiOiJQQVRVQ0siLCJyZWNvdmVyeV92YWx1ZXMiOiIzNjE3ODgwIiwiaWQiOiIyOTM3NDQzIiwic3RhdGUiOiJNQUhBUkFTSFRSQSJ9" xr:uid="{00000000-0004-0000-0200-000004000000}"/>
    <hyperlink ref="B2" r:id="rId6" display="https://search.recoversy.in/result/?ID=eyJmaXJzdF9uYW1lIjoiQ0FXQVNKSSIsIm1pZGRsZV9uYW1lIjoiTlVTU0VSV0FOSkkiLCJsYXN0X25hbWUiOiJQQVRVQ0siLCJyZWNvdmVyeV92YWx1ZXMiOiIzNjE3ODgwIiwiaWQiOiIyOTM3NDQzIiwic3RhdGUiOiJNQUhBUkFTSFRSQSJ9" xr:uid="{00000000-0004-0000-0200-000005000000}"/>
    <hyperlink ref="A3" r:id="rId7" display="https://search.recoversy.in/result/?ID=eyJmaXJzdF9uYW1lIjoiQ0FXQVNKSSIsIm1pZGRsZV9uYW1lIjoiTlVTU0VSV0FOSkkiLCJsYXN0X25hbWUiOiJQQVRVQ0siLCJyZWNvdmVyeV92YWx1ZXMiOiI4ODA3NTUwIiwiaWQiOiIyOTEyNTQ2Iiwic3RhdGUiOiJNQUhBUkFTSFRSQSJ9" xr:uid="{00000000-0004-0000-0200-000006000000}"/>
    <hyperlink ref="B3" r:id="rId8" display="https://search.recoversy.in/result/?ID=eyJmaXJzdF9uYW1lIjoiQ0FXQVNKSSIsIm1pZGRsZV9uYW1lIjoiTlVTU0VSV0FOSkkiLCJsYXN0X25hbWUiOiJQQVRVQ0siLCJyZWNvdmVyeV92YWx1ZXMiOiI4ODA3NTUwIiwiaWQiOiIyOTEyNTQ2Iiwic3RhdGUiOiJNQUhBUkFTSFRSQSJ9" xr:uid="{00000000-0004-0000-0200-000007000000}"/>
    <hyperlink ref="A17" r:id="rId9" display="https://search.recoversy.in/result/?ID=eyJmaXJzdF9uYW1lIjoiU0hFSFJBIiwibWlkZGxlX25hbWUiOiJDQVdBU0pJIiwibGFzdF9uYW1lIjoiUEFUVUNLIiwicmVjb3ZlcnlfdmFsdWVzIjoiMzUwNjEwMCIsImlkIjoiMjgyMTcwNCIsInN0YXRlIjoiTUFIQVJBU0hUUkEifQ==" xr:uid="{00000000-0004-0000-0200-000008000000}"/>
    <hyperlink ref="B17" r:id="rId10" display="https://search.recoversy.in/result/?ID=eyJmaXJzdF9uYW1lIjoiU0hFSFJBIiwibWlkZGxlX25hbWUiOiJDQVdBU0pJIiwibGFzdF9uYW1lIjoiUEFUVUNLIiwicmVjb3ZlcnlfdmFsdWVzIjoiMzUwNjEwMCIsImlkIjoiMjgyMTcwNCIsInN0YXRlIjoiTUFIQVJBU0hUUkEifQ==" xr:uid="{00000000-0004-0000-0200-000009000000}"/>
    <hyperlink ref="A4" r:id="rId11" display="https://search.recoversy.in/result/?ID=eyJmaXJzdF9uYW1lIjoiQ0FXQVNKSSIsIm1pZGRsZV9uYW1lIjoiTlVTU0VSV0FOSkkiLCJsYXN0X25hbWUiOiJQQVRVQ0siLCJyZWNvdmVyeV92YWx1ZXMiOiIxNjkwMDgwIiwiaWQiOiI1MTMyNzM4Iiwic3RhdGUiOiJNQUhBUkFTSFRSQSJ9" xr:uid="{00000000-0004-0000-0200-00000A000000}"/>
    <hyperlink ref="B4" r:id="rId12" display="https://search.recoversy.in/result/?ID=eyJmaXJzdF9uYW1lIjoiQ0FXQVNKSSIsIm1pZGRsZV9uYW1lIjoiTlVTU0VSV0FOSkkiLCJsYXN0X25hbWUiOiJQQVRVQ0siLCJyZWNvdmVyeV92YWx1ZXMiOiIxNjkwMDgwIiwiaWQiOiI1MTMyNzM4Iiwic3RhdGUiOiJNQUhBUkFTSFRSQSJ9" xr:uid="{00000000-0004-0000-0200-00000B000000}"/>
    <hyperlink ref="A20" r:id="rId13" display="https://search.recoversy.in/result/?ID=eyJmaXJzdF9uYW1lIjoiUk9CRVJURSIsIm1pZGRsZV9uYW1lIjoiQ0FXQVNKSSIsImxhc3RfbmFtZSI6IlBBVFVDSyIsInJlY292ZXJ5X3ZhbHVlcyI6IjEyODEwMCIsImlkIjoiMTU0MTgxNyIsInN0YXRlIjoiTUFIQVJBU0hUUkEifQ==" xr:uid="{00000000-0004-0000-0200-00000C000000}"/>
    <hyperlink ref="B20" r:id="rId14" display="https://search.recoversy.in/result/?ID=eyJmaXJzdF9uYW1lIjoiUk9CRVJURSIsIm1pZGRsZV9uYW1lIjoiQ0FXQVNKSSIsImxhc3RfbmFtZSI6IlBBVFVDSyIsInJlY292ZXJ5X3ZhbHVlcyI6IjEyODEwMCIsImlkIjoiMTU0MTgxNyIsInN0YXRlIjoiTUFIQVJBU0hUUkEifQ==" xr:uid="{00000000-0004-0000-0200-00000D000000}"/>
    <hyperlink ref="A5" r:id="rId15" display="https://search.recoversy.in/result/?ID=eyJmaXJzdF9uYW1lIjoiQ0FXQVNKSSIsIm1pZGRsZV9uYW1lIjoiTlVTU0VSV0FOSkkiLCJsYXN0X25hbWUiOiJQQVRVQ0siLCJyZWNvdmVyeV92YWx1ZXMiOiIyNzgxNjAiLCJpZCI6IjE1Mzk0MTYiLCJzdGF0ZSI6Ik1BSEFSQVNIVFJBIn0=" xr:uid="{00000000-0004-0000-0200-00000E000000}"/>
    <hyperlink ref="B5" r:id="rId16" display="https://search.recoversy.in/result/?ID=eyJmaXJzdF9uYW1lIjoiQ0FXQVNKSSIsIm1pZGRsZV9uYW1lIjoiTlVTU0VSV0FOSkkiLCJsYXN0X25hbWUiOiJQQVRVQ0siLCJyZWNvdmVyeV92YWx1ZXMiOiIyNzgxNjAiLCJpZCI6IjE1Mzk0MTYiLCJzdGF0ZSI6Ik1BSEFSQVNIVFJBIn0=" xr:uid="{00000000-0004-0000-0200-00000F000000}"/>
    <hyperlink ref="A21" r:id="rId17" display="https://search.recoversy.in/result/?ID=eyJmaXJzdF9uYW1lIjoiUk9CRVJURSIsIm1pZGRsZV9uYW1lIjoiQ0FXQVNKSSIsImxhc3RfbmFtZSI6IlBBVFVDSyIsInJlY292ZXJ5X3ZhbHVlcyI6Ijg4NzAwIiwiaWQiOiIxMjU0NzMyIiwic3RhdGUiOiJNQUhBUkFTSFRSQSJ9" xr:uid="{00000000-0004-0000-0200-000010000000}"/>
    <hyperlink ref="B21" r:id="rId18" display="https://search.recoversy.in/result/?ID=eyJmaXJzdF9uYW1lIjoiUk9CRVJURSIsIm1pZGRsZV9uYW1lIjoiQ0FXQVNKSSIsImxhc3RfbmFtZSI6IlBBVFVDSyIsInJlY292ZXJ5X3ZhbHVlcyI6Ijg4NzAwIiwiaWQiOiIxMjU0NzMyIiwic3RhdGUiOiJNQUhBUkFTSFRSQSJ9" xr:uid="{00000000-0004-0000-0200-000011000000}"/>
    <hyperlink ref="A22" r:id="rId19" display="https://search.recoversy.in/result/?ID=eyJmaXJzdF9uYW1lIjoiUk9CRVJURSIsIm1pZGRsZV9uYW1lIjoiQ0FXQVNKSSIsImxhc3RfbmFtZSI6IlBBVFVDSyIsInJlY292ZXJ5X3ZhbHVlcyI6IjI0NzUyMCIsImlkIjoiNjE1ODg4Iiwic3RhdGUiOiJNQUhBUkFTSFRSQSJ9" xr:uid="{00000000-0004-0000-0200-000012000000}"/>
    <hyperlink ref="B22" r:id="rId20" display="https://search.recoversy.in/result/?ID=eyJmaXJzdF9uYW1lIjoiUk9CRVJURSIsIm1pZGRsZV9uYW1lIjoiQ0FXQVNKSSIsImxhc3RfbmFtZSI6IlBBVFVDSyIsInJlY292ZXJ5X3ZhbHVlcyI6IjI0NzUyMCIsImlkIjoiNjE1ODg4Iiwic3RhdGUiOiJNQUhBUkFTSFRSQSJ9" xr:uid="{00000000-0004-0000-0200-000013000000}"/>
    <hyperlink ref="A23" r:id="rId21" display="https://search.recoversy.in/result/?ID=eyJmaXJzdF9uYW1lIjoiUk9CRVJURSIsIm1pZGRsZV9uYW1lIjoiQ0FXQVNKSSIsImxhc3RfbmFtZSI6IlBBVFVDSyIsInJlY292ZXJ5X3ZhbHVlcyI6IjEwMjU0NDAiLCJpZCI6IjYxNDQ5MyIsInN0YXRlIjoiTUFIQVJBU0hUUkEifQ==" xr:uid="{00000000-0004-0000-0200-000014000000}"/>
    <hyperlink ref="B23" r:id="rId22" display="https://search.recoversy.in/result/?ID=eyJmaXJzdF9uYW1lIjoiUk9CRVJURSIsIm1pZGRsZV9uYW1lIjoiQ0FXQVNKSSIsImxhc3RfbmFtZSI6IlBBVFVDSyIsInJlY292ZXJ5X3ZhbHVlcyI6IjEwMjU0NDAiLCJpZCI6IjYxNDQ5MyIsInN0YXRlIjoiTUFIQVJBU0hUUkEifQ==" xr:uid="{00000000-0004-0000-0200-000015000000}"/>
    <hyperlink ref="A12" r:id="rId23" display="https://search.recoversy.in/result/?ID=eyJmaXJzdF9uYW1lIjoiU09PTkkiLCJtaWRkbGVfbmFtZSI6IkNBV0FTSkkiLCJsYXN0X25hbWUiOiJQQVRVQ0siLCJyZWNvdmVyeV92YWx1ZXMiOiIxODQ0MzQwIiwiaWQiOiIxNTA2NzMiLCJzdGF0ZSI6Ik1BSEFSQVNIVFJBIn0=" xr:uid="{00000000-0004-0000-0200-000016000000}"/>
    <hyperlink ref="B12" r:id="rId24" display="https://search.recoversy.in/result/?ID=eyJmaXJzdF9uYW1lIjoiU09PTkkiLCJtaWRkbGVfbmFtZSI6IkNBV0FTSkkiLCJsYXN0X25hbWUiOiJQQVRVQ0siLCJyZWNvdmVyeV92YWx1ZXMiOiIxODQ0MzQwIiwiaWQiOiIxNTA2NzMiLCJzdGF0ZSI6Ik1BSEFSQVNIVFJBIn0=" xr:uid="{00000000-0004-0000-0200-000017000000}"/>
    <hyperlink ref="A6" r:id="rId25" display="https://search.recoversy.in/result/?ID=eyJmaXJzdF9uYW1lIjoiQ0FXQVNKSSIsIm1pZGRsZV9uYW1lIjoiTkFTU0VSV0FOSkkiLCJsYXN0X25hbWUiOiJQQVRVQ0siLCJyZWNvdmVyeV92YWx1ZXMiOiIyNjA2OTAiLCJpZCI6IjUxNjUzMzAiLCJzdGF0ZSI6Ik1BSEFSQVNIVFJBIn0=" xr:uid="{00000000-0004-0000-0200-000018000000}"/>
    <hyperlink ref="B6" r:id="rId26" display="https://search.recoversy.in/result/?ID=eyJmaXJzdF9uYW1lIjoiQ0FXQVNKSSIsIm1pZGRsZV9uYW1lIjoiTkFTU0VSV0FOSkkiLCJsYXN0X25hbWUiOiJQQVRVQ0siLCJyZWNvdmVyeV92YWx1ZXMiOiIyNjA2OTAiLCJpZCI6IjUxNjUzMzAiLCJzdGF0ZSI6Ik1BSEFSQVNIVFJBIn0=" xr:uid="{00000000-0004-0000-0200-000019000000}"/>
    <hyperlink ref="A10" r:id="rId27" display="https://search.recoversy.in/result/?ID=eyJmaXJzdF9uYW1lIjoiU09PTkkiLCJtaWRkbGVfbmFtZSI6IkNBV0FTSkkiLCJsYXN0X25hbWUiOiJQQVRVQ0siLCJyZWNvdmVyeV92YWx1ZXMiOiIxMDk2MTYwIiwiaWQiOiIyOTU2Mjg2Iiwic3RhdGUiOiJNQUhBUkFTSFRSQSJ9" xr:uid="{00000000-0004-0000-0200-00001A000000}"/>
    <hyperlink ref="B10" r:id="rId28" display="https://search.recoversy.in/result/?ID=eyJmaXJzdF9uYW1lIjoiU09PTkkiLCJtaWRkbGVfbmFtZSI6IkNBV0FTSkkiLCJsYXN0X25hbWUiOiJQQVRVQ0siLCJyZWNvdmVyeV92YWx1ZXMiOiIxMDk2MTYwIiwiaWQiOiIyOTU2Mjg2Iiwic3RhdGUiOiJNQUhBUkFTSFRSQSJ9" xr:uid="{00000000-0004-0000-0200-00001B000000}"/>
    <hyperlink ref="A11" r:id="rId29" display="https://search.recoversy.in/result/?ID=eyJmaXJzdF9uYW1lIjoiU09PTkkiLCJtaWRkbGVfbmFtZSI6IkNBV0FTSkkiLCJsYXN0X25hbWUiOiJQQVRVQ0siLCJyZWNvdmVyeV92YWx1ZXMiOiIxODQ0MzQwIiwiaWQiOiIxNTA2NzMiLCJzdGF0ZSI6Ik1BSEFSQVNIVFJBIn0=" xr:uid="{00000000-0004-0000-0200-00001C000000}"/>
    <hyperlink ref="B11" r:id="rId30" display="https://search.recoversy.in/result/?ID=eyJmaXJzdF9uYW1lIjoiU09PTkkiLCJtaWRkbGVfbmFtZSI6IkNBV0FTSkkiLCJsYXN0X25hbWUiOiJQQVRVQ0siLCJyZWNvdmVyeV92YWx1ZXMiOiIxODQ0MzQwIiwiaWQiOiIxNTA2NzMiLCJzdGF0ZSI6Ik1BSEFSQVNIVFJBIn0=" xr:uid="{00000000-0004-0000-0200-00001D000000}"/>
    <hyperlink ref="A28" r:id="rId31" display="https://search.recoversy.in/result/?ID=eyJmaXJzdF9uYW1lIjoiSkVST08iLCJtaWRkbGVfbmFtZSI6IklOREVSIiwibGFzdF9uYW1lIjoiREVXQU4iLCJyZWNvdmVyeV92YWx1ZXMiOiI1Mzg0MTAwIiwiaWQiOiIyOTM4MDI4Iiwic3RhdGUiOiJNQUhBUkFTSFRSQSJ9" xr:uid="{00000000-0004-0000-0200-00001E000000}"/>
    <hyperlink ref="B28" r:id="rId32" display="https://search.recoversy.in/result/?ID=eyJmaXJzdF9uYW1lIjoiSkVST08iLCJtaWRkbGVfbmFtZSI6IklOREVSIiwibGFzdF9uYW1lIjoiREVXQU4iLCJyZWNvdmVyeV92YWx1ZXMiOiI1Mzg0MTAwIiwiaWQiOiIyOTM4MDI4Iiwic3RhdGUiOiJNQUhBUkFTSFRSQSJ9" xr:uid="{00000000-0004-0000-0200-00001F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E248"/>
  <sheetViews>
    <sheetView topLeftCell="A241" workbookViewId="0">
      <selection activeCell="B257" sqref="B257"/>
    </sheetView>
  </sheetViews>
  <sheetFormatPr defaultRowHeight="15"/>
  <cols>
    <col min="1" max="1" width="32.7109375" customWidth="1"/>
    <col min="2" max="2" width="43.140625" bestFit="1" customWidth="1"/>
    <col min="3" max="3" width="45.140625" bestFit="1" customWidth="1"/>
    <col min="4" max="4" width="13.42578125" customWidth="1"/>
    <col min="5" max="5" width="10" bestFit="1" customWidth="1"/>
  </cols>
  <sheetData>
    <row r="1" spans="1:5" ht="15.75" thickBot="1">
      <c r="A1" s="41"/>
      <c r="B1" s="41" t="s">
        <v>225</v>
      </c>
      <c r="C1" s="41" t="s">
        <v>339</v>
      </c>
    </row>
    <row r="2" spans="1:5" ht="15.75" thickBot="1">
      <c r="A2" s="42" t="s">
        <v>30</v>
      </c>
      <c r="B2" s="42" t="s">
        <v>340</v>
      </c>
      <c r="C2" s="42" t="s">
        <v>341</v>
      </c>
      <c r="D2" s="42" t="s">
        <v>342</v>
      </c>
    </row>
    <row r="3" spans="1:5" ht="15.75" thickBot="1">
      <c r="A3" s="41" t="s">
        <v>343</v>
      </c>
      <c r="B3" s="41" t="s">
        <v>307</v>
      </c>
      <c r="C3" s="41">
        <v>3930</v>
      </c>
      <c r="D3" s="43">
        <v>44790</v>
      </c>
      <c r="E3" s="25"/>
    </row>
    <row r="4" spans="1:5" ht="15.75" thickBot="1">
      <c r="A4" s="44" t="s">
        <v>343</v>
      </c>
      <c r="B4" s="44" t="s">
        <v>307</v>
      </c>
      <c r="C4" s="44">
        <v>3930</v>
      </c>
      <c r="D4" s="45">
        <v>44790</v>
      </c>
    </row>
    <row r="5" spans="1:5" ht="15.75" thickBot="1">
      <c r="A5" s="41" t="s">
        <v>343</v>
      </c>
      <c r="B5" s="41" t="s">
        <v>307</v>
      </c>
      <c r="C5" s="41">
        <v>4912.5</v>
      </c>
      <c r="D5" s="43">
        <v>45156</v>
      </c>
    </row>
    <row r="6" spans="1:5" ht="15.75" thickBot="1">
      <c r="A6" s="44" t="s">
        <v>343</v>
      </c>
      <c r="B6" s="44" t="s">
        <v>307</v>
      </c>
      <c r="C6" s="44">
        <v>4912.5</v>
      </c>
      <c r="D6" s="45">
        <v>45156</v>
      </c>
    </row>
    <row r="7" spans="1:5" ht="15.75" thickBot="1">
      <c r="A7" s="41" t="s">
        <v>343</v>
      </c>
      <c r="B7" s="41" t="s">
        <v>307</v>
      </c>
      <c r="C7" s="41">
        <v>4585</v>
      </c>
      <c r="D7" s="43">
        <v>45452</v>
      </c>
    </row>
    <row r="8" spans="1:5" ht="15.75" thickBot="1">
      <c r="A8" s="44" t="s">
        <v>343</v>
      </c>
      <c r="B8" s="44" t="s">
        <v>307</v>
      </c>
      <c r="C8" s="44">
        <v>4585</v>
      </c>
      <c r="D8" s="45">
        <v>45452</v>
      </c>
    </row>
    <row r="9" spans="1:5">
      <c r="A9" s="129"/>
      <c r="B9" s="129"/>
      <c r="C9" s="129"/>
      <c r="D9" s="129"/>
    </row>
    <row r="11" spans="1:5" ht="15.75" thickBot="1">
      <c r="A11" s="42" t="s">
        <v>30</v>
      </c>
      <c r="B11" s="42" t="s">
        <v>340</v>
      </c>
      <c r="C11" s="42" t="s">
        <v>341</v>
      </c>
      <c r="D11" s="42" t="s">
        <v>344</v>
      </c>
    </row>
    <row r="12" spans="1:5" ht="15.75" thickBot="1">
      <c r="A12" s="41" t="s">
        <v>345</v>
      </c>
      <c r="B12" s="41" t="s">
        <v>346</v>
      </c>
      <c r="C12" s="41">
        <v>1140</v>
      </c>
      <c r="D12" s="43">
        <v>42976</v>
      </c>
      <c r="E12" s="25"/>
    </row>
    <row r="13" spans="1:5" ht="15.75" thickBot="1">
      <c r="A13" s="44" t="s">
        <v>347</v>
      </c>
      <c r="B13" s="44" t="s">
        <v>346</v>
      </c>
      <c r="C13" s="44">
        <v>1140</v>
      </c>
      <c r="D13" s="45">
        <v>42976</v>
      </c>
    </row>
    <row r="15" spans="1:5" ht="15.75" thickBot="1"/>
    <row r="16" spans="1:5" ht="15.75" thickBot="1">
      <c r="A16" s="41" t="s">
        <v>348</v>
      </c>
      <c r="B16" s="41" t="s">
        <v>349</v>
      </c>
      <c r="C16" s="41">
        <v>42600</v>
      </c>
      <c r="D16" s="43">
        <v>44440</v>
      </c>
      <c r="E16" s="25"/>
    </row>
    <row r="17" spans="1:5" ht="15.75" thickBot="1">
      <c r="A17" s="44" t="s">
        <v>348</v>
      </c>
      <c r="B17" s="44" t="s">
        <v>349</v>
      </c>
      <c r="C17" s="44">
        <v>42600</v>
      </c>
      <c r="D17" s="45">
        <v>44440</v>
      </c>
    </row>
    <row r="18" spans="1:5" ht="15.75" thickBot="1">
      <c r="A18" s="41" t="s">
        <v>348</v>
      </c>
      <c r="B18" s="41" t="s">
        <v>349</v>
      </c>
      <c r="C18" s="41">
        <v>46860</v>
      </c>
      <c r="D18" s="43">
        <v>44741</v>
      </c>
    </row>
    <row r="19" spans="1:5" ht="15.75" thickBot="1">
      <c r="A19" s="44" t="s">
        <v>348</v>
      </c>
      <c r="B19" s="44" t="s">
        <v>349</v>
      </c>
      <c r="C19" s="44">
        <v>46860</v>
      </c>
      <c r="D19" s="45">
        <v>44741</v>
      </c>
    </row>
    <row r="20" spans="1:5" ht="15.75" thickBot="1">
      <c r="A20" s="41" t="s">
        <v>348</v>
      </c>
      <c r="B20" s="41" t="s">
        <v>349</v>
      </c>
      <c r="C20" s="41">
        <v>36209.5</v>
      </c>
      <c r="D20" s="43">
        <v>45104</v>
      </c>
    </row>
    <row r="21" spans="1:5" ht="15.75" thickBot="1">
      <c r="A21" s="44" t="s">
        <v>348</v>
      </c>
      <c r="B21" s="44" t="s">
        <v>349</v>
      </c>
      <c r="C21" s="44">
        <v>36209.5</v>
      </c>
      <c r="D21" s="45">
        <v>45104</v>
      </c>
    </row>
    <row r="22" spans="1:5">
      <c r="A22" s="130"/>
      <c r="B22" s="130"/>
      <c r="C22" s="130"/>
      <c r="D22" s="130"/>
    </row>
    <row r="23" spans="1:5" ht="15.75" thickBot="1"/>
    <row r="24" spans="1:5" ht="15.75" thickBot="1">
      <c r="A24" s="41" t="s">
        <v>350</v>
      </c>
      <c r="B24" s="41" t="s">
        <v>349</v>
      </c>
      <c r="C24" s="41">
        <v>16800</v>
      </c>
      <c r="D24" s="43">
        <v>44748</v>
      </c>
      <c r="E24" s="25"/>
    </row>
    <row r="25" spans="1:5" ht="15.75" thickBot="1">
      <c r="A25" s="44" t="s">
        <v>350</v>
      </c>
      <c r="B25" s="44" t="s">
        <v>349</v>
      </c>
      <c r="C25" s="44">
        <v>16800</v>
      </c>
      <c r="D25" s="45">
        <v>44748</v>
      </c>
    </row>
    <row r="26" spans="1:5" ht="15.75" thickBot="1">
      <c r="A26" s="41" t="s">
        <v>350</v>
      </c>
      <c r="B26" s="41" t="s">
        <v>349</v>
      </c>
      <c r="C26" s="41">
        <v>23520</v>
      </c>
      <c r="D26" s="43">
        <v>45103</v>
      </c>
    </row>
    <row r="27" spans="1:5" ht="15.75" thickBot="1">
      <c r="A27" s="44" t="s">
        <v>350</v>
      </c>
      <c r="B27" s="44" t="s">
        <v>349</v>
      </c>
      <c r="C27" s="44">
        <v>23520</v>
      </c>
      <c r="D27" s="45">
        <v>45103</v>
      </c>
    </row>
    <row r="28" spans="1:5" ht="15.75" thickBot="1">
      <c r="A28" s="42" t="s">
        <v>30</v>
      </c>
      <c r="B28" s="42" t="s">
        <v>351</v>
      </c>
      <c r="C28" s="42" t="s">
        <v>352</v>
      </c>
      <c r="D28" s="42" t="s">
        <v>344</v>
      </c>
    </row>
    <row r="29" spans="1:5" ht="15.75" thickBot="1">
      <c r="A29" s="41" t="s">
        <v>350</v>
      </c>
      <c r="B29" s="41">
        <v>3360</v>
      </c>
      <c r="C29" s="41">
        <v>33600</v>
      </c>
      <c r="D29" s="43">
        <v>44488</v>
      </c>
    </row>
    <row r="30" spans="1:5">
      <c r="A30" s="130"/>
      <c r="B30" s="130"/>
      <c r="C30" s="130"/>
      <c r="D30" s="130"/>
    </row>
    <row r="31" spans="1:5" ht="15.75" thickBot="1"/>
    <row r="32" spans="1:5" ht="15.75" thickBot="1">
      <c r="A32" s="41" t="s">
        <v>353</v>
      </c>
      <c r="B32" s="41" t="s">
        <v>349</v>
      </c>
      <c r="C32" s="41">
        <v>125092</v>
      </c>
      <c r="D32" s="43">
        <v>44744</v>
      </c>
      <c r="E32" s="25"/>
    </row>
    <row r="33" spans="1:5" ht="15.75" thickBot="1">
      <c r="A33" s="44" t="s">
        <v>353</v>
      </c>
      <c r="B33" s="44" t="s">
        <v>349</v>
      </c>
      <c r="C33" s="44">
        <v>125092</v>
      </c>
      <c r="D33" s="45">
        <v>44744</v>
      </c>
    </row>
    <row r="34" spans="1:5" ht="15.75" thickBot="1">
      <c r="A34" s="42" t="s">
        <v>30</v>
      </c>
      <c r="B34" s="42" t="s">
        <v>351</v>
      </c>
      <c r="C34" s="42" t="s">
        <v>352</v>
      </c>
      <c r="D34" s="42" t="s">
        <v>344</v>
      </c>
    </row>
    <row r="35" spans="1:5" ht="15.75" thickBot="1">
      <c r="A35" s="41" t="s">
        <v>353</v>
      </c>
      <c r="B35" s="41">
        <v>6132</v>
      </c>
      <c r="C35" s="41">
        <v>61320</v>
      </c>
      <c r="D35" s="43">
        <v>44491</v>
      </c>
    </row>
    <row r="36" spans="1:5" ht="15.75" thickBot="1">
      <c r="A36" s="41"/>
      <c r="B36" s="41"/>
      <c r="C36" s="41"/>
      <c r="D36" s="43"/>
    </row>
    <row r="37" spans="1:5" ht="15.75" thickBot="1">
      <c r="A37" s="41" t="s">
        <v>354</v>
      </c>
      <c r="B37" s="41">
        <v>25600</v>
      </c>
      <c r="C37" s="41">
        <v>51200</v>
      </c>
      <c r="D37" s="43">
        <v>45241</v>
      </c>
      <c r="E37" s="25"/>
    </row>
    <row r="38" spans="1:5">
      <c r="A38" s="130"/>
      <c r="B38" s="130"/>
      <c r="C38" s="130"/>
      <c r="D38" s="130"/>
    </row>
    <row r="39" spans="1:5" ht="15.75" thickBot="1"/>
    <row r="40" spans="1:5" ht="15.75" thickBot="1">
      <c r="A40" s="75" t="s">
        <v>411</v>
      </c>
      <c r="B40" s="75" t="s">
        <v>372</v>
      </c>
      <c r="C40" s="75">
        <v>2100</v>
      </c>
      <c r="D40" s="76">
        <v>43608</v>
      </c>
      <c r="E40" s="25"/>
    </row>
    <row r="41" spans="1:5" ht="15.75" thickBot="1">
      <c r="A41" s="77" t="s">
        <v>411</v>
      </c>
      <c r="B41" s="77" t="s">
        <v>372</v>
      </c>
      <c r="C41" s="77">
        <v>2100</v>
      </c>
      <c r="D41" s="78">
        <v>43608</v>
      </c>
    </row>
    <row r="42" spans="1:5" ht="15.75" thickBot="1">
      <c r="A42" s="75" t="s">
        <v>411</v>
      </c>
      <c r="B42" s="75" t="s">
        <v>372</v>
      </c>
      <c r="C42" s="75">
        <v>2100</v>
      </c>
      <c r="D42" s="76">
        <v>44345</v>
      </c>
    </row>
    <row r="43" spans="1:5" ht="15.75" thickBot="1">
      <c r="A43" s="77" t="s">
        <v>411</v>
      </c>
      <c r="B43" s="77" t="s">
        <v>372</v>
      </c>
      <c r="C43" s="77">
        <v>2100</v>
      </c>
      <c r="D43" s="78">
        <v>44345</v>
      </c>
    </row>
    <row r="44" spans="1:5" ht="15.75" thickBot="1">
      <c r="A44" s="75" t="s">
        <v>411</v>
      </c>
      <c r="B44" s="75" t="s">
        <v>372</v>
      </c>
      <c r="C44" s="75">
        <v>2100</v>
      </c>
      <c r="D44" s="76">
        <v>44499</v>
      </c>
    </row>
    <row r="45" spans="1:5" ht="15.75" thickBot="1">
      <c r="A45" s="77" t="s">
        <v>411</v>
      </c>
      <c r="B45" s="77" t="s">
        <v>372</v>
      </c>
      <c r="C45" s="77">
        <v>2100</v>
      </c>
      <c r="D45" s="78">
        <v>44499</v>
      </c>
    </row>
    <row r="46" spans="1:5" ht="15.75" thickBot="1">
      <c r="A46" s="75" t="s">
        <v>411</v>
      </c>
      <c r="B46" s="75" t="s">
        <v>372</v>
      </c>
      <c r="C46" s="75">
        <v>700</v>
      </c>
      <c r="D46" s="76">
        <v>44710</v>
      </c>
    </row>
    <row r="47" spans="1:5" ht="15.75" thickBot="1">
      <c r="A47" s="77" t="s">
        <v>411</v>
      </c>
      <c r="B47" s="77" t="s">
        <v>372</v>
      </c>
      <c r="C47" s="77">
        <v>700</v>
      </c>
      <c r="D47" s="78">
        <v>44710</v>
      </c>
    </row>
    <row r="48" spans="1:5" ht="15.75" thickBot="1">
      <c r="A48" s="75" t="s">
        <v>411</v>
      </c>
      <c r="B48" s="75" t="s">
        <v>372</v>
      </c>
      <c r="C48" s="75">
        <v>4200</v>
      </c>
      <c r="D48" s="76">
        <v>45164</v>
      </c>
    </row>
    <row r="49" spans="1:5" ht="34.5" thickBot="1">
      <c r="A49" s="79" t="s">
        <v>30</v>
      </c>
      <c r="B49" s="79" t="s">
        <v>340</v>
      </c>
      <c r="C49" s="79" t="s">
        <v>341</v>
      </c>
      <c r="D49" s="79" t="s">
        <v>344</v>
      </c>
    </row>
    <row r="50" spans="1:5" ht="15.75" thickBot="1">
      <c r="A50" s="75" t="s">
        <v>411</v>
      </c>
      <c r="B50" s="75" t="s">
        <v>372</v>
      </c>
      <c r="C50" s="75">
        <v>700</v>
      </c>
      <c r="D50" s="76">
        <v>38103</v>
      </c>
    </row>
    <row r="51" spans="1:5" ht="15.75" thickBot="1">
      <c r="A51" s="77" t="s">
        <v>411</v>
      </c>
      <c r="B51" s="77" t="s">
        <v>372</v>
      </c>
      <c r="C51" s="77">
        <v>700</v>
      </c>
      <c r="D51" s="78">
        <v>38439</v>
      </c>
    </row>
    <row r="52" spans="1:5" ht="15.75" thickBot="1">
      <c r="A52" s="75" t="s">
        <v>411</v>
      </c>
      <c r="B52" s="75" t="s">
        <v>372</v>
      </c>
      <c r="C52" s="75">
        <v>980</v>
      </c>
      <c r="D52" s="76">
        <v>38839</v>
      </c>
    </row>
    <row r="53" spans="1:5" ht="15.75" thickBot="1">
      <c r="A53" s="77" t="s">
        <v>411</v>
      </c>
      <c r="B53" s="77" t="s">
        <v>372</v>
      </c>
      <c r="C53" s="77">
        <v>1260</v>
      </c>
      <c r="D53" s="78">
        <v>39201</v>
      </c>
    </row>
    <row r="54" spans="1:5" ht="15.75" thickBot="1">
      <c r="A54" s="75" t="s">
        <v>411</v>
      </c>
      <c r="B54" s="75" t="s">
        <v>372</v>
      </c>
      <c r="C54" s="75">
        <v>1680</v>
      </c>
      <c r="D54" s="76">
        <v>39565</v>
      </c>
    </row>
    <row r="55" spans="1:5" ht="15.75" thickBot="1">
      <c r="A55" s="77" t="s">
        <v>411</v>
      </c>
      <c r="B55" s="77" t="s">
        <v>372</v>
      </c>
      <c r="C55" s="77">
        <v>2100</v>
      </c>
      <c r="D55" s="78">
        <v>41016</v>
      </c>
    </row>
    <row r="56" spans="1:5" ht="15.75" thickBot="1">
      <c r="A56" s="75" t="s">
        <v>411</v>
      </c>
      <c r="B56" s="75" t="s">
        <v>372</v>
      </c>
      <c r="C56" s="75">
        <v>2100</v>
      </c>
      <c r="D56" s="76">
        <v>41752</v>
      </c>
    </row>
    <row r="57" spans="1:5">
      <c r="A57" s="130"/>
      <c r="B57" s="130"/>
      <c r="C57" s="130"/>
      <c r="D57" s="130"/>
    </row>
    <row r="58" spans="1:5" ht="15.75" thickBot="1"/>
    <row r="59" spans="1:5" ht="15.75" thickBot="1">
      <c r="A59" s="75" t="s">
        <v>413</v>
      </c>
      <c r="B59" s="75" t="s">
        <v>372</v>
      </c>
      <c r="C59" s="75">
        <v>405</v>
      </c>
      <c r="D59" s="76">
        <v>38224</v>
      </c>
      <c r="E59" s="36" t="s">
        <v>483</v>
      </c>
    </row>
    <row r="60" spans="1:5" ht="15.75" thickBot="1">
      <c r="A60" s="77" t="s">
        <v>413</v>
      </c>
      <c r="B60" s="77" t="s">
        <v>372</v>
      </c>
      <c r="C60" s="77">
        <v>405</v>
      </c>
      <c r="D60" s="78">
        <v>38224</v>
      </c>
    </row>
    <row r="61" spans="1:5">
      <c r="A61" s="130"/>
      <c r="B61" s="130"/>
      <c r="C61" s="130"/>
      <c r="D61" s="130"/>
    </row>
    <row r="63" spans="1:5" ht="15.75" thickBot="1">
      <c r="A63" s="79" t="s">
        <v>414</v>
      </c>
      <c r="B63" s="79" t="s">
        <v>415</v>
      </c>
      <c r="C63" s="79" t="s">
        <v>6</v>
      </c>
    </row>
    <row r="64" spans="1:5" ht="15.75" thickBot="1">
      <c r="A64" s="75"/>
      <c r="B64" s="75" t="s">
        <v>386</v>
      </c>
      <c r="C64" s="75" t="s">
        <v>416</v>
      </c>
    </row>
    <row r="65" spans="1:5" ht="15.75" thickBot="1"/>
    <row r="66" spans="1:5" ht="15.75" thickBot="1">
      <c r="A66" s="75" t="s">
        <v>417</v>
      </c>
      <c r="B66" s="75" t="s">
        <v>307</v>
      </c>
      <c r="C66" s="75">
        <v>14269.2</v>
      </c>
      <c r="D66" s="76">
        <v>45589</v>
      </c>
      <c r="E66" s="25"/>
    </row>
    <row r="67" spans="1:5" ht="15.75" thickBot="1">
      <c r="A67" s="77" t="s">
        <v>417</v>
      </c>
      <c r="B67" s="77" t="s">
        <v>307</v>
      </c>
      <c r="C67" s="77">
        <v>14269.2</v>
      </c>
      <c r="D67" s="78">
        <v>45589</v>
      </c>
    </row>
    <row r="68" spans="1:5" ht="34.5" thickBot="1">
      <c r="A68" s="79" t="s">
        <v>30</v>
      </c>
      <c r="B68" s="79" t="s">
        <v>340</v>
      </c>
      <c r="C68" s="79" t="s">
        <v>341</v>
      </c>
      <c r="D68" s="79" t="s">
        <v>344</v>
      </c>
    </row>
    <row r="69" spans="1:5" ht="15.75" thickBot="1">
      <c r="A69" s="75" t="s">
        <v>417</v>
      </c>
      <c r="B69" s="75" t="s">
        <v>307</v>
      </c>
      <c r="C69" s="75">
        <v>1822</v>
      </c>
      <c r="D69" s="76">
        <v>38254</v>
      </c>
    </row>
    <row r="70" spans="1:5" ht="15.75" thickBot="1">
      <c r="A70" s="77" t="s">
        <v>417</v>
      </c>
      <c r="B70" s="77" t="s">
        <v>307</v>
      </c>
      <c r="C70" s="77">
        <v>1822</v>
      </c>
      <c r="D70" s="78">
        <v>38254</v>
      </c>
    </row>
    <row r="71" spans="1:5" ht="15.75" thickBot="1">
      <c r="A71" s="75" t="s">
        <v>417</v>
      </c>
      <c r="B71" s="75" t="s">
        <v>307</v>
      </c>
      <c r="C71" s="75">
        <v>2594</v>
      </c>
      <c r="D71" s="76">
        <v>39158</v>
      </c>
    </row>
    <row r="72" spans="1:5" ht="15.75" thickBot="1">
      <c r="A72" s="77" t="s">
        <v>417</v>
      </c>
      <c r="B72" s="77" t="s">
        <v>307</v>
      </c>
      <c r="C72" s="77">
        <v>2594</v>
      </c>
      <c r="D72" s="78">
        <v>39158</v>
      </c>
    </row>
    <row r="73" spans="1:5">
      <c r="A73" s="130"/>
      <c r="B73" s="130"/>
      <c r="C73" s="130"/>
      <c r="D73" s="130"/>
    </row>
    <row r="74" spans="1:5" ht="15.75" thickBot="1"/>
    <row r="75" spans="1:5" ht="15.75" thickBot="1">
      <c r="A75" s="75" t="s">
        <v>418</v>
      </c>
      <c r="B75" s="75" t="s">
        <v>307</v>
      </c>
      <c r="C75" s="75">
        <v>1100</v>
      </c>
      <c r="D75" s="76">
        <v>38205</v>
      </c>
      <c r="E75" s="36" t="s">
        <v>483</v>
      </c>
    </row>
    <row r="76" spans="1:5" ht="15.75" thickBot="1">
      <c r="A76" s="77" t="s">
        <v>418</v>
      </c>
      <c r="B76" s="77" t="s">
        <v>307</v>
      </c>
      <c r="C76" s="77">
        <v>1100</v>
      </c>
      <c r="D76" s="78">
        <v>38205</v>
      </c>
    </row>
    <row r="77" spans="1:5" ht="15.75" thickBot="1">
      <c r="A77" s="130"/>
      <c r="B77" s="130"/>
      <c r="C77" s="130"/>
      <c r="D77" s="130"/>
    </row>
    <row r="78" spans="1:5" ht="15.75" thickBot="1">
      <c r="A78" s="75" t="s">
        <v>419</v>
      </c>
      <c r="B78" s="75" t="s">
        <v>307</v>
      </c>
      <c r="C78" s="75">
        <v>2040</v>
      </c>
      <c r="D78" s="76">
        <v>39622</v>
      </c>
      <c r="E78" s="25"/>
    </row>
    <row r="79" spans="1:5" ht="15.75" thickBot="1">
      <c r="A79" s="77" t="s">
        <v>419</v>
      </c>
      <c r="B79" s="77" t="s">
        <v>307</v>
      </c>
      <c r="C79" s="77">
        <v>2040</v>
      </c>
      <c r="D79" s="78">
        <v>39622</v>
      </c>
    </row>
    <row r="80" spans="1:5" ht="15.75" thickBot="1">
      <c r="A80" s="75" t="s">
        <v>419</v>
      </c>
      <c r="B80" s="75" t="s">
        <v>307</v>
      </c>
      <c r="C80" s="75">
        <v>2550</v>
      </c>
      <c r="D80" s="76">
        <v>40782</v>
      </c>
    </row>
    <row r="81" spans="1:5" ht="15.75" thickBot="1">
      <c r="A81" s="77" t="s">
        <v>419</v>
      </c>
      <c r="B81" s="77" t="s">
        <v>307</v>
      </c>
      <c r="C81" s="77">
        <v>2550</v>
      </c>
      <c r="D81" s="78">
        <v>40782</v>
      </c>
    </row>
    <row r="82" spans="1:5">
      <c r="A82" s="130"/>
      <c r="B82" s="130"/>
      <c r="C82" s="130"/>
      <c r="D82" s="130"/>
    </row>
    <row r="83" spans="1:5" ht="34.5" thickBot="1">
      <c r="A83" s="79" t="s">
        <v>30</v>
      </c>
      <c r="B83" s="79" t="s">
        <v>340</v>
      </c>
      <c r="C83" s="79" t="s">
        <v>341</v>
      </c>
      <c r="D83" s="79" t="s">
        <v>344</v>
      </c>
    </row>
    <row r="84" spans="1:5" ht="15.75" thickBot="1">
      <c r="A84" s="75" t="s">
        <v>343</v>
      </c>
      <c r="B84" s="75" t="s">
        <v>307</v>
      </c>
      <c r="C84" s="75">
        <v>2610</v>
      </c>
      <c r="D84" s="76">
        <v>38164</v>
      </c>
      <c r="E84" s="25"/>
    </row>
    <row r="85" spans="1:5" ht="15.75" thickBot="1">
      <c r="A85" s="77" t="s">
        <v>343</v>
      </c>
      <c r="B85" s="77" t="s">
        <v>307</v>
      </c>
      <c r="C85" s="77">
        <v>2610</v>
      </c>
      <c r="D85" s="78">
        <v>38164</v>
      </c>
    </row>
    <row r="86" spans="1:5" ht="15.75" thickBot="1">
      <c r="A86" s="75" t="s">
        <v>343</v>
      </c>
      <c r="B86" s="75" t="s">
        <v>307</v>
      </c>
      <c r="C86" s="75">
        <v>2175</v>
      </c>
      <c r="D86" s="76">
        <v>43683</v>
      </c>
    </row>
    <row r="87" spans="1:5" ht="15.75" thickBot="1">
      <c r="A87" s="77" t="s">
        <v>343</v>
      </c>
      <c r="B87" s="77" t="s">
        <v>307</v>
      </c>
      <c r="C87" s="77">
        <v>2175</v>
      </c>
      <c r="D87" s="78">
        <v>43683</v>
      </c>
    </row>
    <row r="88" spans="1:5" ht="15.75" thickBot="1">
      <c r="A88" s="130"/>
      <c r="B88" s="130"/>
      <c r="C88" s="130"/>
      <c r="D88" s="130"/>
    </row>
    <row r="89" spans="1:5" ht="15.75" thickBot="1">
      <c r="A89" s="75" t="s">
        <v>354</v>
      </c>
      <c r="B89" s="75" t="s">
        <v>307</v>
      </c>
      <c r="C89" s="75">
        <v>4960</v>
      </c>
      <c r="D89" s="76">
        <v>41851</v>
      </c>
      <c r="E89" s="25"/>
    </row>
    <row r="90" spans="1:5" ht="15.75" thickBot="1">
      <c r="A90" s="77" t="s">
        <v>354</v>
      </c>
      <c r="B90" s="77" t="s">
        <v>307</v>
      </c>
      <c r="C90" s="77">
        <v>4960</v>
      </c>
      <c r="D90" s="78">
        <v>41851</v>
      </c>
    </row>
    <row r="91" spans="1:5" ht="15.75" thickBot="1">
      <c r="A91" s="130"/>
      <c r="B91" s="130"/>
      <c r="C91" s="130"/>
      <c r="D91" s="130"/>
    </row>
    <row r="92" spans="1:5" ht="15.75" thickBot="1">
      <c r="A92" s="75" t="s">
        <v>353</v>
      </c>
      <c r="B92" s="75">
        <v>31260</v>
      </c>
      <c r="C92" s="75">
        <v>31260</v>
      </c>
      <c r="D92" s="76">
        <v>44772</v>
      </c>
      <c r="E92" s="25"/>
    </row>
    <row r="93" spans="1:5" ht="15.75" thickBot="1">
      <c r="A93" s="130"/>
      <c r="B93" s="130"/>
      <c r="C93" s="130"/>
      <c r="D93" s="130"/>
    </row>
    <row r="94" spans="1:5" ht="15.75" thickBot="1">
      <c r="A94" s="41" t="s">
        <v>420</v>
      </c>
      <c r="B94" s="41" t="s">
        <v>307</v>
      </c>
      <c r="C94" s="41">
        <v>1360</v>
      </c>
      <c r="D94" s="43">
        <v>40609</v>
      </c>
      <c r="E94" s="25"/>
    </row>
    <row r="95" spans="1:5" ht="15.75" thickBot="1">
      <c r="A95" s="44" t="s">
        <v>420</v>
      </c>
      <c r="B95" s="44" t="s">
        <v>307</v>
      </c>
      <c r="C95" s="44">
        <v>2040</v>
      </c>
      <c r="D95" s="45">
        <v>40747</v>
      </c>
    </row>
    <row r="96" spans="1:5" ht="15.75" thickBot="1">
      <c r="A96" s="41" t="s">
        <v>420</v>
      </c>
      <c r="B96" s="41" t="s">
        <v>307</v>
      </c>
      <c r="C96" s="41">
        <v>1496</v>
      </c>
      <c r="D96" s="43">
        <v>40794</v>
      </c>
    </row>
    <row r="97" spans="1:5" ht="15.75" thickBot="1">
      <c r="A97" s="44" t="s">
        <v>420</v>
      </c>
      <c r="B97" s="44" t="s">
        <v>307</v>
      </c>
      <c r="C97" s="44">
        <v>1496</v>
      </c>
      <c r="D97" s="45">
        <v>40884</v>
      </c>
    </row>
    <row r="98" spans="1:5">
      <c r="A98" s="130"/>
      <c r="B98" s="130"/>
      <c r="C98" s="130"/>
      <c r="D98" s="130"/>
    </row>
    <row r="99" spans="1:5" ht="15.75" thickBot="1"/>
    <row r="100" spans="1:5" ht="15.75" thickBot="1">
      <c r="A100" s="75" t="s">
        <v>413</v>
      </c>
      <c r="B100" s="75" t="s">
        <v>372</v>
      </c>
      <c r="C100" s="75">
        <v>450</v>
      </c>
      <c r="D100" s="76">
        <v>36079</v>
      </c>
      <c r="E100" s="36" t="s">
        <v>483</v>
      </c>
    </row>
    <row r="101" spans="1:5" ht="15.75" thickBot="1">
      <c r="A101" s="77" t="s">
        <v>413</v>
      </c>
      <c r="B101" s="77" t="s">
        <v>372</v>
      </c>
      <c r="C101" s="77">
        <v>450</v>
      </c>
      <c r="D101" s="78">
        <v>36079</v>
      </c>
    </row>
    <row r="102" spans="1:5" ht="15.75" thickBot="1">
      <c r="A102" s="75" t="s">
        <v>413</v>
      </c>
      <c r="B102" s="75" t="s">
        <v>372</v>
      </c>
      <c r="C102" s="75">
        <v>487.5</v>
      </c>
      <c r="D102" s="76">
        <v>36408</v>
      </c>
    </row>
    <row r="103" spans="1:5" ht="15.75" thickBot="1">
      <c r="A103" s="77" t="s">
        <v>413</v>
      </c>
      <c r="B103" s="77" t="s">
        <v>372</v>
      </c>
      <c r="C103" s="77">
        <v>487.5</v>
      </c>
      <c r="D103" s="78">
        <v>36408</v>
      </c>
    </row>
    <row r="104" spans="1:5" ht="15.75" thickBot="1">
      <c r="A104" s="75" t="s">
        <v>413</v>
      </c>
      <c r="B104" s="75" t="s">
        <v>372</v>
      </c>
      <c r="C104" s="75">
        <v>487.5</v>
      </c>
      <c r="D104" s="76">
        <v>36660</v>
      </c>
    </row>
    <row r="105" spans="1:5" ht="15.75" thickBot="1">
      <c r="A105" s="77" t="s">
        <v>413</v>
      </c>
      <c r="B105" s="77" t="s">
        <v>372</v>
      </c>
      <c r="C105" s="77">
        <v>487.5</v>
      </c>
      <c r="D105" s="78">
        <v>36660</v>
      </c>
    </row>
    <row r="106" spans="1:5" ht="15.75" thickBot="1">
      <c r="A106" s="75" t="s">
        <v>413</v>
      </c>
      <c r="B106" s="75" t="s">
        <v>372</v>
      </c>
      <c r="C106" s="75">
        <v>487.5</v>
      </c>
      <c r="D106" s="76">
        <v>37101</v>
      </c>
    </row>
    <row r="107" spans="1:5" ht="15.75" thickBot="1">
      <c r="A107" s="77" t="s">
        <v>413</v>
      </c>
      <c r="B107" s="77" t="s">
        <v>372</v>
      </c>
      <c r="C107" s="77">
        <v>487.5</v>
      </c>
      <c r="D107" s="78">
        <v>37101</v>
      </c>
    </row>
    <row r="108" spans="1:5" ht="15.75" thickBot="1">
      <c r="A108" s="75" t="s">
        <v>413</v>
      </c>
      <c r="B108" s="75" t="s">
        <v>372</v>
      </c>
      <c r="C108" s="75">
        <v>330</v>
      </c>
      <c r="D108" s="76">
        <v>37418</v>
      </c>
    </row>
    <row r="109" spans="1:5" ht="15.75" thickBot="1">
      <c r="A109" s="77" t="s">
        <v>413</v>
      </c>
      <c r="B109" s="77" t="s">
        <v>372</v>
      </c>
      <c r="C109" s="77">
        <v>330</v>
      </c>
      <c r="D109" s="78">
        <v>37418</v>
      </c>
    </row>
    <row r="110" spans="1:5">
      <c r="A110" s="130"/>
      <c r="B110" s="130"/>
      <c r="C110" s="130"/>
      <c r="D110" s="130"/>
    </row>
    <row r="111" spans="1:5" ht="34.5" thickBot="1">
      <c r="A111" s="79" t="s">
        <v>30</v>
      </c>
      <c r="B111" s="79" t="s">
        <v>340</v>
      </c>
      <c r="C111" s="79" t="s">
        <v>341</v>
      </c>
      <c r="D111" s="79" t="s">
        <v>344</v>
      </c>
    </row>
    <row r="112" spans="1:5" ht="15.75" thickBot="1">
      <c r="A112" s="75" t="s">
        <v>350</v>
      </c>
      <c r="B112" s="75" t="s">
        <v>372</v>
      </c>
      <c r="C112" s="75">
        <v>462</v>
      </c>
      <c r="D112" s="76">
        <v>38915</v>
      </c>
      <c r="E112" s="25"/>
    </row>
    <row r="113" spans="1:5" ht="15.75" thickBot="1">
      <c r="A113" s="77" t="s">
        <v>350</v>
      </c>
      <c r="B113" s="77" t="s">
        <v>372</v>
      </c>
      <c r="C113" s="77">
        <v>462</v>
      </c>
      <c r="D113" s="78">
        <v>38915</v>
      </c>
    </row>
    <row r="114" spans="1:5">
      <c r="A114" s="130"/>
      <c r="B114" s="130"/>
      <c r="C114" s="130"/>
      <c r="D114" s="130"/>
    </row>
    <row r="116" spans="1:5" ht="15.75" thickBot="1">
      <c r="A116" s="79" t="s">
        <v>414</v>
      </c>
      <c r="B116" s="79" t="s">
        <v>415</v>
      </c>
      <c r="C116" s="79" t="s">
        <v>6</v>
      </c>
    </row>
    <row r="117" spans="1:5" ht="15.75" thickBot="1">
      <c r="A117" s="75"/>
      <c r="B117" s="75" t="s">
        <v>421</v>
      </c>
      <c r="C117" s="75" t="s">
        <v>422</v>
      </c>
    </row>
    <row r="118" spans="1:5" ht="15.75" thickBot="1">
      <c r="A118" s="75" t="s">
        <v>353</v>
      </c>
      <c r="B118" s="75" t="s">
        <v>372</v>
      </c>
      <c r="C118" s="75">
        <v>1130</v>
      </c>
      <c r="D118" s="76">
        <v>38190</v>
      </c>
      <c r="E118" s="25"/>
    </row>
    <row r="119" spans="1:5" ht="15.75" thickBot="1">
      <c r="A119" s="77" t="s">
        <v>353</v>
      </c>
      <c r="B119" s="77" t="s">
        <v>372</v>
      </c>
      <c r="C119" s="77">
        <v>1130</v>
      </c>
      <c r="D119" s="78">
        <v>38190</v>
      </c>
    </row>
    <row r="120" spans="1:5" ht="15.75" thickBot="1">
      <c r="A120" s="75" t="s">
        <v>353</v>
      </c>
      <c r="B120" s="75" t="s">
        <v>372</v>
      </c>
      <c r="C120" s="75">
        <v>2197</v>
      </c>
      <c r="D120" s="76">
        <v>38903</v>
      </c>
    </row>
    <row r="121" spans="1:5" ht="15.75" thickBot="1">
      <c r="A121" s="77" t="s">
        <v>353</v>
      </c>
      <c r="B121" s="77" t="s">
        <v>372</v>
      </c>
      <c r="C121" s="77">
        <v>2197</v>
      </c>
      <c r="D121" s="78">
        <v>38903</v>
      </c>
    </row>
    <row r="122" spans="1:5" ht="15.75" thickBot="1">
      <c r="A122" s="75" t="s">
        <v>353</v>
      </c>
      <c r="B122" s="75" t="s">
        <v>372</v>
      </c>
      <c r="C122" s="75">
        <v>2619.5</v>
      </c>
      <c r="D122" s="76">
        <v>39323</v>
      </c>
    </row>
    <row r="123" spans="1:5" ht="15.75" thickBot="1">
      <c r="A123" s="77" t="s">
        <v>353</v>
      </c>
      <c r="B123" s="77" t="s">
        <v>372</v>
      </c>
      <c r="C123" s="77">
        <v>2619.5</v>
      </c>
      <c r="D123" s="78">
        <v>39323</v>
      </c>
    </row>
    <row r="124" spans="1:5">
      <c r="A124" s="130"/>
      <c r="B124" s="130"/>
      <c r="C124" s="130"/>
      <c r="D124" s="130"/>
    </row>
    <row r="125" spans="1:5" ht="15.75" thickBot="1"/>
    <row r="126" spans="1:5" ht="15.75" thickBot="1">
      <c r="A126" s="41" t="s">
        <v>423</v>
      </c>
      <c r="B126" s="41" t="s">
        <v>307</v>
      </c>
      <c r="C126" s="41">
        <v>930</v>
      </c>
      <c r="D126" s="43">
        <v>43004</v>
      </c>
      <c r="E126" s="25"/>
    </row>
    <row r="127" spans="1:5" ht="15.75" thickBot="1">
      <c r="A127" s="44" t="s">
        <v>423</v>
      </c>
      <c r="B127" s="44" t="s">
        <v>307</v>
      </c>
      <c r="C127" s="44">
        <v>930</v>
      </c>
      <c r="D127" s="45">
        <v>43004</v>
      </c>
    </row>
    <row r="128" spans="1:5" ht="15.75" thickBot="1">
      <c r="A128" s="41" t="s">
        <v>423</v>
      </c>
      <c r="B128" s="41" t="s">
        <v>307</v>
      </c>
      <c r="C128" s="41">
        <v>233</v>
      </c>
      <c r="D128" s="43">
        <v>43368</v>
      </c>
    </row>
    <row r="129" spans="1:5" ht="15.75" thickBot="1">
      <c r="A129" s="44" t="s">
        <v>423</v>
      </c>
      <c r="B129" s="44" t="s">
        <v>307</v>
      </c>
      <c r="C129" s="44">
        <v>233</v>
      </c>
      <c r="D129" s="45">
        <v>43368</v>
      </c>
    </row>
    <row r="130" spans="1:5" ht="15.75" thickBot="1">
      <c r="A130" s="41" t="s">
        <v>423</v>
      </c>
      <c r="B130" s="41" t="s">
        <v>307</v>
      </c>
      <c r="C130" s="41">
        <v>558</v>
      </c>
      <c r="D130" s="43">
        <v>44999</v>
      </c>
    </row>
    <row r="131" spans="1:5" ht="15.75" thickBot="1">
      <c r="A131" s="44" t="s">
        <v>423</v>
      </c>
      <c r="B131" s="44" t="s">
        <v>307</v>
      </c>
      <c r="C131" s="44">
        <v>558</v>
      </c>
      <c r="D131" s="45">
        <v>44999</v>
      </c>
    </row>
    <row r="132" spans="1:5">
      <c r="A132" s="130" t="s">
        <v>424</v>
      </c>
      <c r="B132" s="130"/>
      <c r="C132" s="130"/>
      <c r="D132" s="130"/>
    </row>
    <row r="133" spans="1:5">
      <c r="A133" s="131" t="s">
        <v>412</v>
      </c>
      <c r="B133" s="131"/>
      <c r="C133" s="131"/>
      <c r="D133" s="131"/>
    </row>
    <row r="134" spans="1:5" ht="15.75" thickBot="1">
      <c r="A134" s="42" t="s">
        <v>30</v>
      </c>
      <c r="B134" s="42" t="s">
        <v>340</v>
      </c>
      <c r="C134" s="42" t="s">
        <v>341</v>
      </c>
      <c r="D134" s="42" t="s">
        <v>344</v>
      </c>
    </row>
    <row r="135" spans="1:5" ht="15.75" thickBot="1">
      <c r="A135" s="41" t="s">
        <v>423</v>
      </c>
      <c r="B135" s="41" t="s">
        <v>307</v>
      </c>
      <c r="C135" s="41">
        <v>930</v>
      </c>
      <c r="D135" s="43">
        <v>40417</v>
      </c>
      <c r="E135" s="25"/>
    </row>
    <row r="136" spans="1:5">
      <c r="A136" s="130"/>
      <c r="B136" s="130"/>
      <c r="C136" s="130"/>
      <c r="D136" s="130"/>
    </row>
    <row r="137" spans="1:5" ht="15.75" thickBot="1"/>
    <row r="138" spans="1:5" ht="15.75" thickBot="1">
      <c r="A138" s="75" t="s">
        <v>425</v>
      </c>
      <c r="B138" s="75" t="s">
        <v>307</v>
      </c>
      <c r="C138" s="75">
        <v>1860</v>
      </c>
      <c r="D138" s="76">
        <v>44077</v>
      </c>
      <c r="E138" s="25"/>
    </row>
    <row r="139" spans="1:5" ht="15.75" thickBot="1">
      <c r="A139" s="77" t="s">
        <v>425</v>
      </c>
      <c r="B139" s="77" t="s">
        <v>307</v>
      </c>
      <c r="C139" s="77">
        <v>1860</v>
      </c>
      <c r="D139" s="78">
        <v>44118</v>
      </c>
    </row>
    <row r="140" spans="1:5" ht="15.75" thickBot="1">
      <c r="A140" s="75" t="s">
        <v>425</v>
      </c>
      <c r="B140" s="75" t="s">
        <v>307</v>
      </c>
      <c r="C140" s="75">
        <v>1860</v>
      </c>
      <c r="D140" s="76">
        <v>44444</v>
      </c>
    </row>
    <row r="141" spans="1:5" ht="15.75" thickBot="1">
      <c r="A141" s="77" t="s">
        <v>425</v>
      </c>
      <c r="B141" s="77" t="s">
        <v>307</v>
      </c>
      <c r="C141" s="77">
        <v>1860</v>
      </c>
      <c r="D141" s="78">
        <v>44444</v>
      </c>
    </row>
    <row r="142" spans="1:5" ht="15.75" thickBot="1">
      <c r="A142" s="75" t="s">
        <v>425</v>
      </c>
      <c r="B142" s="75" t="s">
        <v>307</v>
      </c>
      <c r="C142" s="75">
        <v>1860</v>
      </c>
      <c r="D142" s="76">
        <v>44481</v>
      </c>
    </row>
    <row r="143" spans="1:5" ht="15.75" thickBot="1">
      <c r="A143" s="77" t="s">
        <v>425</v>
      </c>
      <c r="B143" s="77" t="s">
        <v>307</v>
      </c>
      <c r="C143" s="77">
        <v>1395</v>
      </c>
      <c r="D143" s="78">
        <v>44842</v>
      </c>
    </row>
    <row r="144" spans="1:5" ht="15.75" thickBot="1">
      <c r="A144" s="75" t="s">
        <v>425</v>
      </c>
      <c r="B144" s="75" t="s">
        <v>307</v>
      </c>
      <c r="C144" s="75">
        <v>1395</v>
      </c>
      <c r="D144" s="76">
        <v>44842</v>
      </c>
    </row>
    <row r="145" spans="1:5" ht="15.75" thickBot="1">
      <c r="A145" s="77" t="s">
        <v>425</v>
      </c>
      <c r="B145" s="77" t="s">
        <v>307</v>
      </c>
      <c r="C145" s="77">
        <v>1395</v>
      </c>
      <c r="D145" s="78">
        <v>44842</v>
      </c>
    </row>
    <row r="146" spans="1:5" ht="15.75" thickBot="1">
      <c r="A146" s="75" t="s">
        <v>425</v>
      </c>
      <c r="B146" s="75" t="s">
        <v>307</v>
      </c>
      <c r="C146" s="75">
        <v>1395</v>
      </c>
      <c r="D146" s="76">
        <v>44842</v>
      </c>
    </row>
    <row r="147" spans="1:5" ht="15.75" thickBot="1">
      <c r="A147" s="77" t="s">
        <v>425</v>
      </c>
      <c r="B147" s="77" t="s">
        <v>307</v>
      </c>
      <c r="C147" s="77">
        <v>1860</v>
      </c>
      <c r="D147" s="78">
        <v>45014</v>
      </c>
    </row>
    <row r="148" spans="1:5">
      <c r="A148" s="130"/>
      <c r="B148" s="130"/>
      <c r="C148" s="130"/>
      <c r="D148" s="130"/>
    </row>
    <row r="149" spans="1:5" ht="15.75" thickBot="1"/>
    <row r="150" spans="1:5" ht="15.75" thickBot="1">
      <c r="A150" s="75" t="s">
        <v>353</v>
      </c>
      <c r="B150" s="75" t="s">
        <v>372</v>
      </c>
      <c r="C150" s="75">
        <v>1344</v>
      </c>
      <c r="D150" s="76">
        <v>43025</v>
      </c>
      <c r="E150" s="25"/>
    </row>
    <row r="151" spans="1:5" ht="15.75" thickBot="1">
      <c r="A151" s="77" t="s">
        <v>353</v>
      </c>
      <c r="B151" s="77" t="s">
        <v>372</v>
      </c>
      <c r="C151" s="77">
        <v>1344</v>
      </c>
      <c r="D151" s="78">
        <v>43025</v>
      </c>
    </row>
    <row r="152" spans="1:5" ht="15.75" thickBot="1">
      <c r="A152" s="75" t="s">
        <v>353</v>
      </c>
      <c r="B152" s="75" t="s">
        <v>372</v>
      </c>
      <c r="C152" s="75">
        <v>2016</v>
      </c>
      <c r="D152" s="76">
        <v>43381</v>
      </c>
    </row>
    <row r="153" spans="1:5" ht="15.75" thickBot="1">
      <c r="A153" s="77" t="s">
        <v>353</v>
      </c>
      <c r="B153" s="77" t="s">
        <v>372</v>
      </c>
      <c r="C153" s="77">
        <v>2016</v>
      </c>
      <c r="D153" s="78">
        <v>43381</v>
      </c>
    </row>
    <row r="154" spans="1:5" ht="15.75" thickBot="1">
      <c r="A154" s="75" t="s">
        <v>353</v>
      </c>
      <c r="B154" s="75" t="s">
        <v>372</v>
      </c>
      <c r="C154" s="75">
        <v>2016</v>
      </c>
      <c r="D154" s="76">
        <v>43726</v>
      </c>
    </row>
    <row r="155" spans="1:5" ht="15.75" thickBot="1">
      <c r="A155" s="77" t="s">
        <v>353</v>
      </c>
      <c r="B155" s="77" t="s">
        <v>372</v>
      </c>
      <c r="C155" s="77">
        <v>2016</v>
      </c>
      <c r="D155" s="78">
        <v>43726</v>
      </c>
    </row>
    <row r="156" spans="1:5" ht="15.75" thickBot="1">
      <c r="A156" s="75" t="s">
        <v>353</v>
      </c>
      <c r="B156" s="75" t="s">
        <v>372</v>
      </c>
      <c r="C156" s="75">
        <v>2016</v>
      </c>
      <c r="D156" s="76">
        <v>43726</v>
      </c>
    </row>
    <row r="157" spans="1:5" ht="15.75" thickBot="1">
      <c r="A157" s="77" t="s">
        <v>353</v>
      </c>
      <c r="B157" s="77" t="s">
        <v>372</v>
      </c>
      <c r="C157" s="77">
        <v>2016</v>
      </c>
      <c r="D157" s="78">
        <v>43726</v>
      </c>
    </row>
    <row r="158" spans="1:5" ht="15.75" thickBot="1">
      <c r="A158" s="75" t="s">
        <v>353</v>
      </c>
      <c r="B158" s="75" t="s">
        <v>372</v>
      </c>
      <c r="C158" s="75">
        <v>2016</v>
      </c>
      <c r="D158" s="76">
        <v>43726</v>
      </c>
    </row>
    <row r="159" spans="1:5" ht="15.75" thickBot="1">
      <c r="A159" s="77" t="s">
        <v>353</v>
      </c>
      <c r="B159" s="77" t="s">
        <v>372</v>
      </c>
      <c r="C159" s="77">
        <v>2016</v>
      </c>
      <c r="D159" s="78">
        <v>43726</v>
      </c>
    </row>
    <row r="160" spans="1:5">
      <c r="A160" s="130"/>
      <c r="B160" s="130"/>
      <c r="C160" s="130"/>
      <c r="D160" s="130"/>
    </row>
    <row r="161" spans="1:5" ht="15.75" thickBot="1"/>
    <row r="162" spans="1:5" ht="15.75" thickBot="1">
      <c r="A162" s="44" t="s">
        <v>426</v>
      </c>
      <c r="B162" s="44" t="s">
        <v>307</v>
      </c>
      <c r="C162" s="44">
        <v>1163</v>
      </c>
      <c r="D162" s="45">
        <v>40786</v>
      </c>
      <c r="E162" s="25"/>
    </row>
    <row r="164" spans="1:5" ht="15.75" thickBot="1"/>
    <row r="165" spans="1:5" ht="24.75" thickBot="1">
      <c r="A165" s="75" t="s">
        <v>429</v>
      </c>
      <c r="B165" s="75" t="s">
        <v>430</v>
      </c>
    </row>
    <row r="166" spans="1:5" ht="24.75" thickBot="1">
      <c r="A166" s="75" t="s">
        <v>427</v>
      </c>
      <c r="B166" s="106" t="s">
        <v>428</v>
      </c>
      <c r="C166" s="75">
        <v>2000</v>
      </c>
      <c r="D166" s="76">
        <v>42667</v>
      </c>
      <c r="E166" s="36" t="s">
        <v>483</v>
      </c>
    </row>
    <row r="167" spans="1:5" ht="24.75" thickBot="1">
      <c r="A167" s="77" t="s">
        <v>427</v>
      </c>
      <c r="B167" s="77" t="s">
        <v>428</v>
      </c>
      <c r="C167" s="77">
        <v>2000</v>
      </c>
      <c r="D167" s="78">
        <v>42667</v>
      </c>
    </row>
    <row r="168" spans="1:5" ht="24.75" thickBot="1">
      <c r="A168" s="75" t="s">
        <v>427</v>
      </c>
      <c r="B168" s="75" t="s">
        <v>428</v>
      </c>
      <c r="C168" s="75">
        <v>2000</v>
      </c>
      <c r="D168" s="76">
        <v>42667</v>
      </c>
    </row>
    <row r="169" spans="1:5" ht="24.75" thickBot="1">
      <c r="A169" s="77" t="s">
        <v>427</v>
      </c>
      <c r="B169" s="77" t="s">
        <v>428</v>
      </c>
      <c r="C169" s="77">
        <v>2000</v>
      </c>
      <c r="D169" s="78">
        <v>42667</v>
      </c>
    </row>
    <row r="170" spans="1:5" ht="15.75" thickBot="1"/>
    <row r="171" spans="1:5" ht="15.75" thickBot="1">
      <c r="A171" s="75" t="s">
        <v>353</v>
      </c>
      <c r="B171" s="75" t="s">
        <v>372</v>
      </c>
      <c r="C171" s="75">
        <v>6084</v>
      </c>
      <c r="D171" s="76">
        <v>43381</v>
      </c>
      <c r="E171" s="25"/>
    </row>
    <row r="172" spans="1:5" ht="15.75" thickBot="1">
      <c r="A172" s="77" t="s">
        <v>353</v>
      </c>
      <c r="B172" s="77" t="s">
        <v>372</v>
      </c>
      <c r="C172" s="77">
        <v>6084</v>
      </c>
      <c r="D172" s="78">
        <v>43381</v>
      </c>
    </row>
    <row r="173" spans="1:5" ht="15.75" thickBot="1">
      <c r="A173" s="75" t="s">
        <v>353</v>
      </c>
      <c r="B173" s="75" t="s">
        <v>372</v>
      </c>
      <c r="C173" s="75">
        <v>6084</v>
      </c>
      <c r="D173" s="76">
        <v>43726</v>
      </c>
    </row>
    <row r="174" spans="1:5" ht="15.75" thickBot="1">
      <c r="A174" s="77" t="s">
        <v>353</v>
      </c>
      <c r="B174" s="77" t="s">
        <v>372</v>
      </c>
      <c r="C174" s="77">
        <v>6084</v>
      </c>
      <c r="D174" s="78">
        <v>43726</v>
      </c>
    </row>
    <row r="175" spans="1:5" ht="15.75" thickBot="1">
      <c r="A175" s="75" t="s">
        <v>353</v>
      </c>
      <c r="B175" s="75" t="s">
        <v>372</v>
      </c>
      <c r="C175" s="75">
        <v>5070</v>
      </c>
      <c r="D175" s="76">
        <v>44455</v>
      </c>
    </row>
    <row r="176" spans="1:5" ht="15.75" thickBot="1">
      <c r="A176" s="77" t="s">
        <v>353</v>
      </c>
      <c r="B176" s="77" t="s">
        <v>372</v>
      </c>
      <c r="C176" s="77">
        <v>5070</v>
      </c>
      <c r="D176" s="78">
        <v>44455</v>
      </c>
    </row>
    <row r="177" spans="1:4" ht="15.75" thickBot="1">
      <c r="A177" s="75" t="s">
        <v>353</v>
      </c>
      <c r="B177" s="75" t="s">
        <v>372</v>
      </c>
      <c r="C177" s="75">
        <v>4056</v>
      </c>
      <c r="D177" s="76">
        <v>44820</v>
      </c>
    </row>
    <row r="178" spans="1:4" ht="15.75" thickBot="1">
      <c r="A178" s="77" t="s">
        <v>353</v>
      </c>
      <c r="B178" s="77" t="s">
        <v>372</v>
      </c>
      <c r="C178" s="77">
        <v>4056</v>
      </c>
      <c r="D178" s="78">
        <v>44820</v>
      </c>
    </row>
    <row r="179" spans="1:4" ht="15.75" thickBot="1">
      <c r="A179" s="75" t="s">
        <v>353</v>
      </c>
      <c r="B179" s="75" t="s">
        <v>372</v>
      </c>
      <c r="C179" s="75">
        <v>4056</v>
      </c>
      <c r="D179" s="76">
        <v>45187</v>
      </c>
    </row>
    <row r="180" spans="1:4" ht="15.75" thickBot="1">
      <c r="A180" s="77" t="s">
        <v>353</v>
      </c>
      <c r="B180" s="77" t="s">
        <v>372</v>
      </c>
      <c r="C180" s="77">
        <v>4056</v>
      </c>
      <c r="D180" s="78">
        <v>45187</v>
      </c>
    </row>
    <row r="181" spans="1:4" ht="15.75" thickBot="1">
      <c r="A181" s="81"/>
      <c r="B181" s="81"/>
      <c r="C181" s="81"/>
      <c r="D181" s="82"/>
    </row>
    <row r="182" spans="1:4" ht="15.75" thickBot="1">
      <c r="A182" s="81"/>
      <c r="B182" s="81"/>
      <c r="C182" s="81"/>
      <c r="D182" s="82"/>
    </row>
    <row r="183" spans="1:4" ht="15.75" thickBot="1">
      <c r="A183" s="130"/>
      <c r="B183" s="130"/>
      <c r="C183" s="130"/>
      <c r="D183" s="130"/>
    </row>
    <row r="184" spans="1:4" ht="15.75" thickBot="1">
      <c r="A184" s="77" t="s">
        <v>41</v>
      </c>
      <c r="B184" s="77" t="s">
        <v>431</v>
      </c>
    </row>
    <row r="185" spans="1:4" ht="15.75" thickBot="1">
      <c r="A185" s="75" t="s">
        <v>347</v>
      </c>
      <c r="B185" s="75" t="s">
        <v>349</v>
      </c>
      <c r="C185" s="75">
        <v>3675</v>
      </c>
      <c r="D185" s="76">
        <v>44216</v>
      </c>
    </row>
    <row r="186" spans="1:4" ht="15.75" thickBot="1">
      <c r="A186" s="77" t="s">
        <v>345</v>
      </c>
      <c r="B186" s="77" t="s">
        <v>349</v>
      </c>
      <c r="C186" s="77">
        <v>3675</v>
      </c>
      <c r="D186" s="78">
        <v>44216</v>
      </c>
    </row>
    <row r="187" spans="1:4" ht="15.75" thickBot="1">
      <c r="A187" s="75" t="s">
        <v>345</v>
      </c>
      <c r="B187" s="75" t="s">
        <v>349</v>
      </c>
      <c r="C187" s="75">
        <v>4200</v>
      </c>
      <c r="D187" s="76">
        <v>44575</v>
      </c>
    </row>
    <row r="188" spans="1:4" ht="15.75" thickBot="1">
      <c r="A188" s="77" t="s">
        <v>347</v>
      </c>
      <c r="B188" s="77" t="s">
        <v>349</v>
      </c>
      <c r="C188" s="77">
        <v>4200</v>
      </c>
      <c r="D188" s="78">
        <v>44575</v>
      </c>
    </row>
    <row r="189" spans="1:4" ht="15.75" thickBot="1">
      <c r="A189" s="75" t="s">
        <v>347</v>
      </c>
      <c r="B189" s="75" t="s">
        <v>349</v>
      </c>
      <c r="C189" s="75">
        <v>4620</v>
      </c>
      <c r="D189" s="76">
        <v>44957</v>
      </c>
    </row>
    <row r="190" spans="1:4" ht="15.75" thickBot="1">
      <c r="A190" s="77" t="s">
        <v>345</v>
      </c>
      <c r="B190" s="77" t="s">
        <v>349</v>
      </c>
      <c r="C190" s="77">
        <v>4620</v>
      </c>
      <c r="D190" s="78">
        <v>44957</v>
      </c>
    </row>
    <row r="191" spans="1:4">
      <c r="A191" s="130"/>
      <c r="B191" s="130"/>
      <c r="C191" s="130"/>
      <c r="D191" s="130"/>
    </row>
    <row r="193" spans="1:5" ht="34.5" thickBot="1">
      <c r="A193" s="79" t="s">
        <v>30</v>
      </c>
      <c r="B193" s="79" t="s">
        <v>340</v>
      </c>
      <c r="C193" s="79" t="s">
        <v>341</v>
      </c>
      <c r="D193" s="79" t="s">
        <v>344</v>
      </c>
    </row>
    <row r="194" spans="1:5" ht="15.75" thickBot="1">
      <c r="A194" s="75" t="s">
        <v>354</v>
      </c>
      <c r="B194" s="75" t="s">
        <v>307</v>
      </c>
      <c r="C194" s="75">
        <v>1120</v>
      </c>
      <c r="D194" s="76">
        <v>41851</v>
      </c>
    </row>
    <row r="195" spans="1:5" ht="15.75" thickBot="1">
      <c r="A195" s="77" t="s">
        <v>354</v>
      </c>
      <c r="B195" s="77" t="s">
        <v>307</v>
      </c>
      <c r="C195" s="77">
        <v>4640</v>
      </c>
      <c r="D195" s="78">
        <v>41851</v>
      </c>
    </row>
    <row r="196" spans="1:5" ht="15.75" thickBot="1">
      <c r="A196" s="75" t="s">
        <v>354</v>
      </c>
      <c r="B196" s="75" t="s">
        <v>307</v>
      </c>
      <c r="C196" s="75">
        <v>1120</v>
      </c>
      <c r="D196" s="76">
        <v>41851</v>
      </c>
    </row>
    <row r="197" spans="1:5" ht="15.75" thickBot="1">
      <c r="A197" s="77" t="s">
        <v>354</v>
      </c>
      <c r="B197" s="77" t="s">
        <v>307</v>
      </c>
      <c r="C197" s="77">
        <v>4640</v>
      </c>
      <c r="D197" s="78">
        <v>41851</v>
      </c>
    </row>
    <row r="198" spans="1:5">
      <c r="A198" s="130"/>
      <c r="B198" s="130"/>
      <c r="C198" s="130"/>
      <c r="D198" s="130"/>
    </row>
    <row r="199" spans="1:5" ht="15.75" thickBot="1"/>
    <row r="200" spans="1:5" ht="15.75" thickBot="1">
      <c r="A200" s="75" t="s">
        <v>411</v>
      </c>
      <c r="B200" s="75" t="s">
        <v>349</v>
      </c>
      <c r="C200" s="75">
        <v>290</v>
      </c>
      <c r="D200" s="76">
        <v>44400</v>
      </c>
    </row>
    <row r="201" spans="1:5" ht="15.75" thickBot="1">
      <c r="A201" s="77" t="s">
        <v>411</v>
      </c>
      <c r="B201" s="77" t="s">
        <v>349</v>
      </c>
      <c r="C201" s="77">
        <v>290</v>
      </c>
      <c r="D201" s="78">
        <v>44769</v>
      </c>
    </row>
    <row r="202" spans="1:5" ht="15.75" thickBot="1">
      <c r="A202" s="75" t="s">
        <v>411</v>
      </c>
      <c r="B202" s="75" t="s">
        <v>349</v>
      </c>
      <c r="C202" s="75">
        <v>800</v>
      </c>
      <c r="D202" s="76">
        <v>45140</v>
      </c>
    </row>
    <row r="203" spans="1:5">
      <c r="A203" s="130"/>
      <c r="B203" s="130"/>
      <c r="C203" s="130"/>
      <c r="D203" s="130"/>
    </row>
    <row r="204" spans="1:5" ht="15.75" thickBot="1"/>
    <row r="205" spans="1:5" ht="24.75" thickBot="1">
      <c r="A205" s="75"/>
      <c r="B205" s="75" t="s">
        <v>397</v>
      </c>
      <c r="C205" s="75" t="s">
        <v>304</v>
      </c>
    </row>
    <row r="206" spans="1:5" ht="15.75" thickBot="1">
      <c r="A206" s="75" t="s">
        <v>419</v>
      </c>
      <c r="B206" s="75" t="s">
        <v>307</v>
      </c>
      <c r="C206" s="75">
        <v>480</v>
      </c>
      <c r="D206" s="76">
        <v>42633</v>
      </c>
      <c r="E206" s="25"/>
    </row>
    <row r="207" spans="1:5" ht="15.75" thickBot="1">
      <c r="A207" s="77" t="s">
        <v>419</v>
      </c>
      <c r="B207" s="77" t="s">
        <v>307</v>
      </c>
      <c r="C207" s="77">
        <v>480</v>
      </c>
      <c r="D207" s="78">
        <v>42633</v>
      </c>
    </row>
    <row r="208" spans="1:5" ht="15.75" thickBot="1">
      <c r="A208" s="75" t="s">
        <v>419</v>
      </c>
      <c r="B208" s="75" t="s">
        <v>307</v>
      </c>
      <c r="C208" s="75">
        <v>360</v>
      </c>
      <c r="D208" s="76">
        <v>42697</v>
      </c>
    </row>
    <row r="209" spans="1:5" ht="15.75" thickBot="1">
      <c r="A209" s="77" t="s">
        <v>419</v>
      </c>
      <c r="B209" s="77" t="s">
        <v>307</v>
      </c>
      <c r="C209" s="77">
        <v>360</v>
      </c>
      <c r="D209" s="78">
        <v>42697</v>
      </c>
    </row>
    <row r="210" spans="1:5" ht="15.75" thickBot="1">
      <c r="A210" s="75" t="s">
        <v>419</v>
      </c>
      <c r="B210" s="75" t="s">
        <v>307</v>
      </c>
      <c r="C210" s="75">
        <v>420</v>
      </c>
      <c r="D210" s="76">
        <v>42946</v>
      </c>
    </row>
    <row r="211" spans="1:5" ht="15.75" thickBot="1">
      <c r="A211" s="77" t="s">
        <v>419</v>
      </c>
      <c r="B211" s="77" t="s">
        <v>307</v>
      </c>
      <c r="C211" s="77">
        <v>420</v>
      </c>
      <c r="D211" s="78">
        <v>42946</v>
      </c>
    </row>
    <row r="212" spans="1:5" ht="15.75" thickBot="1">
      <c r="A212" s="75" t="s">
        <v>419</v>
      </c>
      <c r="B212" s="75" t="s">
        <v>307</v>
      </c>
      <c r="C212" s="75">
        <v>420</v>
      </c>
      <c r="D212" s="76">
        <v>42946</v>
      </c>
    </row>
    <row r="213" spans="1:5" ht="15.75" thickBot="1">
      <c r="A213" s="77" t="s">
        <v>419</v>
      </c>
      <c r="B213" s="77" t="s">
        <v>307</v>
      </c>
      <c r="C213" s="77">
        <v>420</v>
      </c>
      <c r="D213" s="78">
        <v>42946</v>
      </c>
    </row>
    <row r="214" spans="1:5" ht="15.75" thickBot="1">
      <c r="A214" s="75" t="s">
        <v>419</v>
      </c>
      <c r="B214" s="75" t="s">
        <v>307</v>
      </c>
      <c r="C214" s="75">
        <v>360</v>
      </c>
      <c r="D214" s="76">
        <v>43054</v>
      </c>
    </row>
    <row r="215" spans="1:5" ht="15.75" thickBot="1">
      <c r="A215" s="77" t="s">
        <v>419</v>
      </c>
      <c r="B215" s="77" t="s">
        <v>307</v>
      </c>
      <c r="C215" s="77">
        <v>360</v>
      </c>
      <c r="D215" s="78">
        <v>43054</v>
      </c>
    </row>
    <row r="217" spans="1:5" ht="15.75" thickBot="1"/>
    <row r="218" spans="1:5" ht="15.75" thickBot="1">
      <c r="A218" s="75" t="s">
        <v>432</v>
      </c>
      <c r="B218" s="75" t="s">
        <v>349</v>
      </c>
      <c r="C218" s="75">
        <v>3600</v>
      </c>
      <c r="D218" s="76">
        <v>45098</v>
      </c>
      <c r="E218" s="25"/>
    </row>
    <row r="219" spans="1:5" ht="15.75" thickBot="1">
      <c r="A219" s="77" t="s">
        <v>432</v>
      </c>
      <c r="B219" s="77" t="s">
        <v>349</v>
      </c>
      <c r="C219" s="77">
        <v>3600</v>
      </c>
      <c r="D219" s="78">
        <v>45098</v>
      </c>
    </row>
    <row r="222" spans="1:5" ht="34.5" thickBot="1">
      <c r="A222" s="79" t="s">
        <v>30</v>
      </c>
      <c r="B222" s="79" t="s">
        <v>340</v>
      </c>
      <c r="C222" s="79" t="s">
        <v>341</v>
      </c>
      <c r="D222" s="79" t="s">
        <v>342</v>
      </c>
    </row>
    <row r="223" spans="1:5" ht="24.75" thickBot="1">
      <c r="A223" s="75" t="s">
        <v>433</v>
      </c>
      <c r="B223" s="75" t="s">
        <v>307</v>
      </c>
      <c r="C223" s="75">
        <v>40920</v>
      </c>
      <c r="D223" s="76">
        <v>45543</v>
      </c>
      <c r="E223" s="25"/>
    </row>
    <row r="224" spans="1:5" ht="24.75" thickBot="1">
      <c r="A224" s="77" t="s">
        <v>434</v>
      </c>
      <c r="B224" s="77" t="s">
        <v>307</v>
      </c>
      <c r="C224" s="77">
        <v>40920</v>
      </c>
      <c r="D224" s="78">
        <v>45543</v>
      </c>
    </row>
    <row r="225" spans="1:5" ht="24.75" thickBot="1">
      <c r="A225" s="75" t="s">
        <v>434</v>
      </c>
      <c r="B225" s="75" t="s">
        <v>307</v>
      </c>
      <c r="C225" s="75">
        <v>40920</v>
      </c>
      <c r="D225" s="76">
        <v>45543</v>
      </c>
    </row>
    <row r="226" spans="1:5" ht="24.75" thickBot="1">
      <c r="A226" s="77" t="s">
        <v>434</v>
      </c>
      <c r="B226" s="77" t="s">
        <v>435</v>
      </c>
      <c r="C226" s="77">
        <v>7440</v>
      </c>
      <c r="D226" s="78">
        <v>45543</v>
      </c>
    </row>
    <row r="227" spans="1:5" ht="24.75" thickBot="1">
      <c r="A227" s="75" t="s">
        <v>433</v>
      </c>
      <c r="B227" s="75" t="s">
        <v>307</v>
      </c>
      <c r="C227" s="75">
        <v>40920</v>
      </c>
      <c r="D227" s="76">
        <v>45543</v>
      </c>
    </row>
    <row r="228" spans="1:5" ht="24.75" thickBot="1">
      <c r="A228" s="77" t="s">
        <v>433</v>
      </c>
      <c r="B228" s="77" t="s">
        <v>435</v>
      </c>
      <c r="C228" s="77">
        <v>7440</v>
      </c>
      <c r="D228" s="78">
        <v>45543</v>
      </c>
    </row>
    <row r="229" spans="1:5" ht="24.75" thickBot="1">
      <c r="A229" s="75" t="s">
        <v>434</v>
      </c>
      <c r="B229" s="75" t="s">
        <v>307</v>
      </c>
      <c r="C229" s="75">
        <v>40920</v>
      </c>
      <c r="D229" s="76">
        <v>45572</v>
      </c>
    </row>
    <row r="230" spans="1:5" ht="24.75" thickBot="1">
      <c r="A230" s="77" t="s">
        <v>433</v>
      </c>
      <c r="B230" s="77" t="s">
        <v>307</v>
      </c>
      <c r="C230" s="77">
        <v>40920</v>
      </c>
      <c r="D230" s="78">
        <v>45572</v>
      </c>
    </row>
    <row r="231" spans="1:5" ht="24.75" thickBot="1">
      <c r="A231" s="75" t="s">
        <v>434</v>
      </c>
      <c r="B231" s="75" t="s">
        <v>307</v>
      </c>
      <c r="C231" s="75">
        <v>40920</v>
      </c>
      <c r="D231" s="76">
        <v>45572</v>
      </c>
    </row>
    <row r="232" spans="1:5" ht="24.75" thickBot="1">
      <c r="A232" s="77" t="s">
        <v>433</v>
      </c>
      <c r="B232" s="77" t="s">
        <v>307</v>
      </c>
      <c r="C232" s="77">
        <v>40920</v>
      </c>
      <c r="D232" s="78">
        <v>45572</v>
      </c>
    </row>
    <row r="235" spans="1:5" ht="34.5" thickBot="1">
      <c r="A235" s="79" t="s">
        <v>30</v>
      </c>
      <c r="B235" s="79" t="s">
        <v>351</v>
      </c>
      <c r="C235" s="79" t="s">
        <v>352</v>
      </c>
      <c r="D235" s="79" t="s">
        <v>344</v>
      </c>
    </row>
    <row r="236" spans="1:5" ht="15.75" thickBot="1">
      <c r="A236" s="75" t="s">
        <v>353</v>
      </c>
      <c r="B236" s="75">
        <v>7860</v>
      </c>
      <c r="C236" s="75">
        <v>78600</v>
      </c>
      <c r="D236" s="76">
        <v>44491</v>
      </c>
      <c r="E236" s="25"/>
    </row>
    <row r="238" spans="1:5" ht="34.5" thickBot="1">
      <c r="A238" s="79" t="s">
        <v>30</v>
      </c>
      <c r="B238" s="79" t="s">
        <v>351</v>
      </c>
      <c r="C238" s="79" t="s">
        <v>352</v>
      </c>
      <c r="D238" s="79" t="s">
        <v>344</v>
      </c>
    </row>
    <row r="239" spans="1:5" ht="15.75" thickBot="1">
      <c r="A239" s="75" t="s">
        <v>354</v>
      </c>
      <c r="B239" s="75">
        <v>3000</v>
      </c>
      <c r="C239" s="75">
        <v>6000</v>
      </c>
      <c r="D239" s="76">
        <v>45241</v>
      </c>
      <c r="E239" s="25"/>
    </row>
    <row r="241" spans="1:5" ht="34.5" thickBot="1">
      <c r="A241" s="79" t="s">
        <v>30</v>
      </c>
      <c r="B241" s="79" t="s">
        <v>340</v>
      </c>
      <c r="C241" s="79" t="s">
        <v>341</v>
      </c>
      <c r="D241" s="79" t="s">
        <v>342</v>
      </c>
    </row>
    <row r="242" spans="1:5" ht="15.75" thickBot="1">
      <c r="A242" s="75" t="s">
        <v>417</v>
      </c>
      <c r="B242" s="75" t="s">
        <v>307</v>
      </c>
      <c r="C242" s="75">
        <v>14269.2</v>
      </c>
      <c r="D242" s="76">
        <v>45589</v>
      </c>
      <c r="E242" s="25"/>
    </row>
    <row r="243" spans="1:5" ht="15.75" thickBot="1">
      <c r="A243" s="77" t="s">
        <v>417</v>
      </c>
      <c r="B243" s="77" t="s">
        <v>307</v>
      </c>
      <c r="C243" s="77">
        <v>14269.2</v>
      </c>
      <c r="D243" s="78">
        <v>45589</v>
      </c>
    </row>
    <row r="244" spans="1:5" ht="15.75" thickBot="1"/>
    <row r="245" spans="1:5" ht="15.75" thickBot="1">
      <c r="A245" s="75" t="s">
        <v>436</v>
      </c>
      <c r="B245" s="75">
        <v>3200</v>
      </c>
      <c r="C245" s="75">
        <v>16000</v>
      </c>
      <c r="D245" s="76">
        <v>44827</v>
      </c>
      <c r="E245" s="25"/>
    </row>
    <row r="246" spans="1:5" ht="15.75" thickBot="1">
      <c r="A246" s="130"/>
      <c r="B246" s="130"/>
      <c r="C246" s="130"/>
      <c r="D246" s="130"/>
    </row>
    <row r="247" spans="1:5" ht="24.75" thickBot="1">
      <c r="A247" s="75" t="s">
        <v>420</v>
      </c>
      <c r="B247" s="75" t="s">
        <v>307</v>
      </c>
      <c r="C247" s="75">
        <v>11560</v>
      </c>
      <c r="D247" s="76">
        <v>45234</v>
      </c>
      <c r="E247" s="36" t="s">
        <v>498</v>
      </c>
    </row>
    <row r="248" spans="1:5">
      <c r="A248" s="130"/>
      <c r="B248" s="130"/>
      <c r="C248" s="130"/>
      <c r="D248" s="130"/>
    </row>
  </sheetData>
  <mergeCells count="27">
    <mergeCell ref="A246:D246"/>
    <mergeCell ref="A248:D248"/>
    <mergeCell ref="A148:D148"/>
    <mergeCell ref="A160:D160"/>
    <mergeCell ref="A183:D183"/>
    <mergeCell ref="A191:D191"/>
    <mergeCell ref="A198:D198"/>
    <mergeCell ref="A124:D124"/>
    <mergeCell ref="A132:D132"/>
    <mergeCell ref="A133:D133"/>
    <mergeCell ref="A136:D136"/>
    <mergeCell ref="A203:D203"/>
    <mergeCell ref="A91:D91"/>
    <mergeCell ref="A93:D93"/>
    <mergeCell ref="A98:D98"/>
    <mergeCell ref="A110:D110"/>
    <mergeCell ref="A114:D114"/>
    <mergeCell ref="A77:D77"/>
    <mergeCell ref="A82:D82"/>
    <mergeCell ref="A57:D57"/>
    <mergeCell ref="A61:D61"/>
    <mergeCell ref="A88:D88"/>
    <mergeCell ref="A9:D9"/>
    <mergeCell ref="A22:D22"/>
    <mergeCell ref="A30:D30"/>
    <mergeCell ref="A38:D38"/>
    <mergeCell ref="A73:D73"/>
  </mergeCells>
  <pageMargins left="0.7" right="0.7" top="0.75" bottom="0.75" header="0.3" footer="0.3"/>
  <drawing r:id="rId1"/>
  <legacyDrawing r:id="rId2"/>
  <controls>
    <mc:AlternateContent xmlns:mc="http://schemas.openxmlformats.org/markup-compatibility/2006">
      <mc:Choice Requires="x14">
        <control shapeId="4099" r:id="rId3" name="Control 3">
          <controlPr defaultSize="0" r:id="rId4">
            <anchor moveWithCells="1">
              <from>
                <xdr:col>0</xdr:col>
                <xdr:colOff>0</xdr:colOff>
                <xdr:row>204</xdr:row>
                <xdr:rowOff>0</xdr:rowOff>
              </from>
              <to>
                <xdr:col>0</xdr:col>
                <xdr:colOff>257175</xdr:colOff>
                <xdr:row>204</xdr:row>
                <xdr:rowOff>238125</xdr:rowOff>
              </to>
            </anchor>
          </controlPr>
        </control>
      </mc:Choice>
      <mc:Fallback>
        <control shapeId="4099" r:id="rId3" name="Control 3"/>
      </mc:Fallback>
    </mc:AlternateContent>
    <mc:AlternateContent xmlns:mc="http://schemas.openxmlformats.org/markup-compatibility/2006">
      <mc:Choice Requires="x14">
        <control shapeId="4098" r:id="rId5" name="Control 2">
          <controlPr defaultSize="0" r:id="rId4">
            <anchor moveWithCells="1">
              <from>
                <xdr:col>0</xdr:col>
                <xdr:colOff>0</xdr:colOff>
                <xdr:row>116</xdr:row>
                <xdr:rowOff>0</xdr:rowOff>
              </from>
              <to>
                <xdr:col>0</xdr:col>
                <xdr:colOff>257175</xdr:colOff>
                <xdr:row>117</xdr:row>
                <xdr:rowOff>38100</xdr:rowOff>
              </to>
            </anchor>
          </controlPr>
        </control>
      </mc:Choice>
      <mc:Fallback>
        <control shapeId="4098" r:id="rId5" name="Control 2"/>
      </mc:Fallback>
    </mc:AlternateContent>
    <mc:AlternateContent xmlns:mc="http://schemas.openxmlformats.org/markup-compatibility/2006">
      <mc:Choice Requires="x14">
        <control shapeId="4097" r:id="rId6" name="Control 1">
          <controlPr defaultSize="0" r:id="rId4">
            <anchor moveWithCells="1">
              <from>
                <xdr:col>0</xdr:col>
                <xdr:colOff>0</xdr:colOff>
                <xdr:row>63</xdr:row>
                <xdr:rowOff>0</xdr:rowOff>
              </from>
              <to>
                <xdr:col>0</xdr:col>
                <xdr:colOff>257175</xdr:colOff>
                <xdr:row>64</xdr:row>
                <xdr:rowOff>38100</xdr:rowOff>
              </to>
            </anchor>
          </controlPr>
        </control>
      </mc:Choice>
      <mc:Fallback>
        <control shapeId="4097" r:id="rId6" name="Control 1"/>
      </mc:Fallback>
    </mc:AlternateContent>
  </control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04"/>
  <sheetViews>
    <sheetView tabSelected="1" topLeftCell="B1" zoomScale="90" zoomScaleNormal="90" workbookViewId="0">
      <pane ySplit="1" topLeftCell="A73" activePane="bottomLeft" state="frozen"/>
      <selection pane="bottomLeft" activeCell="T85" sqref="T85"/>
    </sheetView>
  </sheetViews>
  <sheetFormatPr defaultRowHeight="15"/>
  <cols>
    <col min="1" max="1" width="4.85546875" customWidth="1"/>
    <col min="3" max="3" width="25.28515625" customWidth="1"/>
    <col min="6" max="6" width="6.5703125" customWidth="1"/>
    <col min="7" max="7" width="6" bestFit="1" customWidth="1"/>
    <col min="13" max="13" width="18.7109375" bestFit="1" customWidth="1"/>
    <col min="14" max="14" width="12.140625" customWidth="1"/>
    <col min="16" max="16" width="12.5703125" bestFit="1" customWidth="1"/>
    <col min="18" max="18" width="15.28515625" bestFit="1" customWidth="1"/>
    <col min="19" max="19" width="23.85546875" customWidth="1"/>
    <col min="20" max="20" width="29.28515625" bestFit="1" customWidth="1"/>
  </cols>
  <sheetData>
    <row r="1" spans="2:20" ht="90">
      <c r="B1" s="1" t="s">
        <v>0</v>
      </c>
      <c r="C1" s="1" t="s">
        <v>1</v>
      </c>
      <c r="D1" s="1" t="s">
        <v>2</v>
      </c>
      <c r="E1" s="1" t="s">
        <v>3</v>
      </c>
      <c r="F1" s="1" t="s">
        <v>4</v>
      </c>
      <c r="G1" s="1" t="s">
        <v>5</v>
      </c>
      <c r="H1" s="1" t="s">
        <v>6</v>
      </c>
      <c r="I1" s="1" t="s">
        <v>7</v>
      </c>
      <c r="J1" s="1" t="s">
        <v>8</v>
      </c>
      <c r="K1" s="1" t="s">
        <v>9</v>
      </c>
      <c r="L1" s="2" t="s">
        <v>10</v>
      </c>
      <c r="M1" s="1" t="s">
        <v>11</v>
      </c>
      <c r="N1" s="1" t="s">
        <v>12</v>
      </c>
      <c r="O1" s="3" t="s">
        <v>13</v>
      </c>
      <c r="P1" s="4" t="s">
        <v>14</v>
      </c>
      <c r="Q1" s="4" t="s">
        <v>15</v>
      </c>
      <c r="R1" s="4" t="s">
        <v>16</v>
      </c>
      <c r="S1" s="4" t="s">
        <v>17</v>
      </c>
      <c r="T1" s="4" t="s">
        <v>360</v>
      </c>
    </row>
    <row r="3" spans="2:20">
      <c r="B3" t="s">
        <v>18</v>
      </c>
      <c r="C3" t="s">
        <v>19</v>
      </c>
      <c r="D3" t="s">
        <v>20</v>
      </c>
      <c r="E3" t="s">
        <v>21</v>
      </c>
      <c r="H3" t="s">
        <v>22</v>
      </c>
      <c r="I3" t="s">
        <v>23</v>
      </c>
      <c r="J3" t="s">
        <v>24</v>
      </c>
      <c r="L3" s="5">
        <v>400001</v>
      </c>
      <c r="M3" s="7" t="s">
        <v>25</v>
      </c>
      <c r="N3" s="6" t="s">
        <v>26</v>
      </c>
      <c r="O3" s="8">
        <v>10650</v>
      </c>
      <c r="P3" s="5"/>
      <c r="Q3">
        <v>824</v>
      </c>
      <c r="R3" s="9">
        <f>O3*Q3</f>
        <v>8775600</v>
      </c>
      <c r="S3" t="s">
        <v>312</v>
      </c>
      <c r="T3" s="111" t="s">
        <v>27</v>
      </c>
    </row>
    <row r="4" spans="2:20">
      <c r="R4" s="9"/>
    </row>
    <row r="5" spans="2:20" ht="14.1" customHeight="1">
      <c r="B5" s="26" t="s">
        <v>18</v>
      </c>
      <c r="C5" s="26" t="s">
        <v>19</v>
      </c>
      <c r="D5" s="26" t="s">
        <v>20</v>
      </c>
      <c r="E5" s="26" t="s">
        <v>19</v>
      </c>
      <c r="F5" s="26" t="s">
        <v>20</v>
      </c>
      <c r="G5" s="26" t="s">
        <v>303</v>
      </c>
      <c r="H5" s="26" t="s">
        <v>309</v>
      </c>
      <c r="I5" s="26" t="s">
        <v>23</v>
      </c>
      <c r="J5" s="26" t="s">
        <v>24</v>
      </c>
      <c r="K5" s="26" t="s">
        <v>303</v>
      </c>
      <c r="L5" s="26" t="s">
        <v>305</v>
      </c>
      <c r="M5" s="29" t="s">
        <v>310</v>
      </c>
      <c r="N5" s="26" t="s">
        <v>313</v>
      </c>
      <c r="O5" s="5">
        <v>12800</v>
      </c>
      <c r="P5" s="26"/>
      <c r="Q5">
        <v>678</v>
      </c>
      <c r="R5" s="9">
        <f>O5*Q5</f>
        <v>8678400</v>
      </c>
      <c r="S5" s="36" t="s">
        <v>311</v>
      </c>
      <c r="T5" s="111" t="s">
        <v>232</v>
      </c>
    </row>
    <row r="6" spans="2:20">
      <c r="R6" s="9"/>
    </row>
    <row r="7" spans="2:20" s="30" customFormat="1">
      <c r="B7" s="31" t="s">
        <v>18</v>
      </c>
      <c r="C7" s="22" t="s">
        <v>19</v>
      </c>
      <c r="D7" s="22" t="s">
        <v>20</v>
      </c>
      <c r="E7" s="31" t="s">
        <v>21</v>
      </c>
      <c r="F7" s="22"/>
      <c r="G7" s="22"/>
      <c r="H7" s="31" t="s">
        <v>314</v>
      </c>
      <c r="I7" s="31" t="s">
        <v>23</v>
      </c>
      <c r="J7" s="31" t="s">
        <v>24</v>
      </c>
      <c r="K7" s="31"/>
      <c r="L7" s="31">
        <v>400026</v>
      </c>
      <c r="M7" s="32" t="s">
        <v>315</v>
      </c>
      <c r="N7" s="31" t="s">
        <v>316</v>
      </c>
      <c r="O7" s="34">
        <v>30660</v>
      </c>
      <c r="P7" s="33" t="s">
        <v>317</v>
      </c>
      <c r="Q7" s="30">
        <v>126</v>
      </c>
      <c r="R7" s="9">
        <f>O7*Q7</f>
        <v>3863160</v>
      </c>
      <c r="S7" s="36" t="s">
        <v>311</v>
      </c>
      <c r="T7" s="112" t="s">
        <v>318</v>
      </c>
    </row>
    <row r="8" spans="2:20">
      <c r="N8" s="35">
        <v>3066</v>
      </c>
      <c r="O8" s="35"/>
      <c r="R8" s="9">
        <f>O8*Q8</f>
        <v>0</v>
      </c>
    </row>
    <row r="9" spans="2:20">
      <c r="B9" s="26" t="s">
        <v>18</v>
      </c>
      <c r="C9" s="26" t="s">
        <v>19</v>
      </c>
      <c r="D9" s="26" t="s">
        <v>20</v>
      </c>
      <c r="E9" s="26" t="s">
        <v>21</v>
      </c>
      <c r="F9" s="26" t="s">
        <v>303</v>
      </c>
      <c r="G9" s="26" t="s">
        <v>303</v>
      </c>
      <c r="H9" s="26" t="s">
        <v>319</v>
      </c>
      <c r="I9" s="26" t="s">
        <v>23</v>
      </c>
      <c r="J9" s="26" t="s">
        <v>24</v>
      </c>
      <c r="K9" s="26" t="s">
        <v>303</v>
      </c>
      <c r="L9" s="26" t="s">
        <v>305</v>
      </c>
      <c r="M9" s="29" t="s">
        <v>320</v>
      </c>
      <c r="N9" s="26" t="s">
        <v>321</v>
      </c>
      <c r="O9" s="5">
        <v>1680</v>
      </c>
      <c r="P9" s="33" t="s">
        <v>317</v>
      </c>
      <c r="Q9">
        <v>962</v>
      </c>
      <c r="R9" s="9">
        <f>O9*Q9</f>
        <v>1616160</v>
      </c>
      <c r="S9" t="s">
        <v>312</v>
      </c>
      <c r="T9" s="111" t="s">
        <v>324</v>
      </c>
    </row>
    <row r="10" spans="2:20">
      <c r="R10" s="9">
        <f>O10*Q10</f>
        <v>0</v>
      </c>
    </row>
    <row r="11" spans="2:20">
      <c r="B11" s="28" t="s">
        <v>322</v>
      </c>
      <c r="C11" s="26"/>
      <c r="D11" s="26"/>
      <c r="E11" s="26" t="s">
        <v>325</v>
      </c>
      <c r="F11" s="26"/>
      <c r="G11" s="26"/>
      <c r="H11" s="26" t="s">
        <v>326</v>
      </c>
      <c r="I11" s="26"/>
      <c r="J11" s="26"/>
      <c r="K11" s="26"/>
      <c r="L11" s="26"/>
      <c r="M11" s="29" t="s">
        <v>323</v>
      </c>
      <c r="N11" s="26"/>
      <c r="O11" s="38">
        <v>11188</v>
      </c>
      <c r="P11" s="33" t="s">
        <v>317</v>
      </c>
      <c r="Q11">
        <v>962</v>
      </c>
      <c r="R11" s="9">
        <f>O11*Q11</f>
        <v>10762856</v>
      </c>
      <c r="S11" t="s">
        <v>312</v>
      </c>
      <c r="T11" s="111" t="s">
        <v>324</v>
      </c>
    </row>
    <row r="12" spans="2:20">
      <c r="R12" s="9"/>
    </row>
    <row r="13" spans="2:20">
      <c r="B13" s="26" t="s">
        <v>33</v>
      </c>
      <c r="C13" s="26" t="s">
        <v>303</v>
      </c>
      <c r="D13" s="26" t="s">
        <v>303</v>
      </c>
      <c r="E13" t="s">
        <v>327</v>
      </c>
      <c r="F13" s="5" t="s">
        <v>303</v>
      </c>
      <c r="G13" s="5"/>
      <c r="H13" t="s">
        <v>328</v>
      </c>
      <c r="M13" s="29" t="s">
        <v>280</v>
      </c>
      <c r="O13">
        <v>280</v>
      </c>
      <c r="P13" s="33" t="s">
        <v>329</v>
      </c>
      <c r="Q13">
        <v>4600</v>
      </c>
      <c r="R13" s="9">
        <f>O13*Q13</f>
        <v>1288000</v>
      </c>
      <c r="S13" s="36" t="s">
        <v>311</v>
      </c>
      <c r="T13" s="111" t="s">
        <v>42</v>
      </c>
    </row>
    <row r="14" spans="2:20">
      <c r="R14" s="9"/>
    </row>
    <row r="15" spans="2:20">
      <c r="B15" t="s">
        <v>330</v>
      </c>
      <c r="H15" t="s">
        <v>338</v>
      </c>
      <c r="M15" t="s">
        <v>332</v>
      </c>
      <c r="O15">
        <v>2280</v>
      </c>
      <c r="Q15">
        <v>264</v>
      </c>
      <c r="R15" s="9">
        <f>O15*Q15</f>
        <v>601920</v>
      </c>
      <c r="S15" s="36" t="s">
        <v>311</v>
      </c>
      <c r="T15" s="111" t="s">
        <v>331</v>
      </c>
    </row>
    <row r="16" spans="2:20">
      <c r="R16" s="9"/>
    </row>
    <row r="17" spans="2:20">
      <c r="B17" t="s">
        <v>334</v>
      </c>
      <c r="H17" t="s">
        <v>333</v>
      </c>
      <c r="L17" s="26" t="s">
        <v>305</v>
      </c>
      <c r="M17" s="26">
        <v>10033</v>
      </c>
      <c r="O17">
        <v>80</v>
      </c>
      <c r="Q17">
        <v>65</v>
      </c>
      <c r="R17" s="9">
        <f>O17*Q17</f>
        <v>5200</v>
      </c>
      <c r="S17" s="36" t="s">
        <v>311</v>
      </c>
      <c r="T17" s="111" t="s">
        <v>240</v>
      </c>
    </row>
    <row r="19" spans="2:20">
      <c r="B19" s="26" t="s">
        <v>18</v>
      </c>
      <c r="C19" s="26" t="s">
        <v>19</v>
      </c>
      <c r="D19" s="26" t="s">
        <v>20</v>
      </c>
      <c r="E19" s="26" t="s">
        <v>21</v>
      </c>
      <c r="F19" s="26" t="s">
        <v>303</v>
      </c>
      <c r="G19" s="26" t="s">
        <v>303</v>
      </c>
      <c r="H19" s="26" t="s">
        <v>319</v>
      </c>
      <c r="I19" s="26" t="s">
        <v>23</v>
      </c>
      <c r="J19" s="26" t="s">
        <v>24</v>
      </c>
      <c r="K19" s="26" t="s">
        <v>303</v>
      </c>
      <c r="L19" s="26" t="s">
        <v>305</v>
      </c>
      <c r="M19" s="29" t="s">
        <v>335</v>
      </c>
      <c r="N19" s="26"/>
      <c r="O19" s="5">
        <v>1915</v>
      </c>
      <c r="P19" s="33" t="s">
        <v>317</v>
      </c>
      <c r="Q19">
        <v>925</v>
      </c>
      <c r="R19" s="9">
        <f>O19*Q19</f>
        <v>1771375</v>
      </c>
      <c r="S19" t="s">
        <v>312</v>
      </c>
      <c r="T19" s="111" t="s">
        <v>337</v>
      </c>
    </row>
    <row r="21" spans="2:20">
      <c r="B21" s="28" t="s">
        <v>322</v>
      </c>
      <c r="C21" s="26"/>
      <c r="D21" s="26"/>
      <c r="E21" s="26" t="s">
        <v>325</v>
      </c>
      <c r="F21" s="26"/>
      <c r="G21" s="26"/>
      <c r="H21" s="26" t="s">
        <v>326</v>
      </c>
      <c r="I21" s="26"/>
      <c r="J21" s="26"/>
      <c r="K21" s="26"/>
      <c r="L21" s="26"/>
      <c r="M21" s="29" t="s">
        <v>336</v>
      </c>
      <c r="N21" s="26"/>
      <c r="O21" s="40">
        <v>12754</v>
      </c>
      <c r="P21" s="33" t="s">
        <v>317</v>
      </c>
      <c r="Q21">
        <v>925</v>
      </c>
      <c r="R21" s="9">
        <f>O21*Q21</f>
        <v>11797450</v>
      </c>
      <c r="S21" t="s">
        <v>312</v>
      </c>
      <c r="T21" s="111" t="s">
        <v>337</v>
      </c>
    </row>
    <row r="22" spans="2:20">
      <c r="B22" s="28"/>
      <c r="C22" s="26"/>
      <c r="D22" s="26"/>
      <c r="E22" s="26"/>
      <c r="F22" s="26"/>
      <c r="G22" s="26"/>
      <c r="H22" s="26"/>
      <c r="I22" s="26"/>
      <c r="J22" s="26"/>
      <c r="K22" s="26"/>
      <c r="L22" s="26"/>
      <c r="M22" s="29"/>
      <c r="N22" s="26"/>
      <c r="O22" s="40"/>
      <c r="P22" s="33"/>
      <c r="R22" s="9"/>
    </row>
    <row r="23" spans="2:20">
      <c r="B23" s="28" t="s">
        <v>225</v>
      </c>
      <c r="C23" s="26"/>
      <c r="D23" s="26"/>
      <c r="E23" s="26"/>
      <c r="F23" s="26"/>
      <c r="G23" s="26"/>
      <c r="H23" s="26" t="s">
        <v>481</v>
      </c>
      <c r="I23" s="26"/>
      <c r="J23" s="26"/>
      <c r="K23" s="26"/>
      <c r="L23" s="26"/>
      <c r="M23" s="102" t="s">
        <v>480</v>
      </c>
      <c r="N23" s="26"/>
      <c r="O23" s="40">
        <v>655</v>
      </c>
      <c r="P23" s="33"/>
      <c r="Q23">
        <v>429</v>
      </c>
      <c r="R23" s="9">
        <f t="shared" ref="R23" si="0">O23*Q23</f>
        <v>280995</v>
      </c>
      <c r="S23" t="s">
        <v>312</v>
      </c>
      <c r="T23" s="111" t="s">
        <v>482</v>
      </c>
    </row>
    <row r="24" spans="2:20">
      <c r="B24" s="28"/>
      <c r="C24" s="26"/>
      <c r="D24" s="26"/>
      <c r="E24" s="26"/>
      <c r="F24" s="26"/>
      <c r="G24" s="26"/>
      <c r="H24" s="26"/>
      <c r="I24" s="26"/>
      <c r="J24" s="26"/>
      <c r="K24" s="26"/>
      <c r="L24" s="26"/>
      <c r="M24" s="29"/>
      <c r="N24" s="26"/>
      <c r="O24" s="40"/>
      <c r="P24" s="33"/>
      <c r="R24" s="9"/>
    </row>
    <row r="26" spans="2:20">
      <c r="B26" s="50"/>
      <c r="C26" s="50"/>
      <c r="D26" s="50"/>
      <c r="E26" s="50"/>
      <c r="F26" s="50"/>
      <c r="G26" s="50"/>
      <c r="H26" s="50"/>
      <c r="I26" s="50"/>
      <c r="J26" s="50"/>
      <c r="K26" s="50"/>
      <c r="L26" s="50"/>
      <c r="M26" s="50"/>
      <c r="N26" s="50"/>
      <c r="O26" s="50"/>
      <c r="P26" s="50"/>
      <c r="Q26" s="50"/>
      <c r="R26" s="51">
        <f>SUM(R3:R25)</f>
        <v>49441116</v>
      </c>
      <c r="S26" s="50"/>
      <c r="T26" s="50"/>
    </row>
    <row r="28" spans="2:20">
      <c r="B28" t="s">
        <v>361</v>
      </c>
      <c r="H28" t="s">
        <v>362</v>
      </c>
      <c r="M28" s="7" t="s">
        <v>364</v>
      </c>
      <c r="O28">
        <v>3000</v>
      </c>
      <c r="P28" s="33" t="s">
        <v>317</v>
      </c>
      <c r="Q28">
        <v>320</v>
      </c>
      <c r="R28" s="9">
        <f>O28*Q28</f>
        <v>960000</v>
      </c>
      <c r="S28" s="36" t="s">
        <v>311</v>
      </c>
      <c r="T28" s="111" t="s">
        <v>363</v>
      </c>
    </row>
    <row r="29" spans="2:20">
      <c r="B29" t="s">
        <v>361</v>
      </c>
      <c r="H29" t="s">
        <v>362</v>
      </c>
      <c r="M29" s="7" t="s">
        <v>365</v>
      </c>
      <c r="O29">
        <v>1440</v>
      </c>
      <c r="P29" s="33" t="s">
        <v>317</v>
      </c>
      <c r="Q29">
        <v>320</v>
      </c>
      <c r="R29" s="9">
        <f>O29*Q29</f>
        <v>460800</v>
      </c>
      <c r="S29" s="36" t="s">
        <v>311</v>
      </c>
      <c r="T29" s="111" t="s">
        <v>363</v>
      </c>
    </row>
    <row r="30" spans="2:20">
      <c r="R30" s="9"/>
    </row>
    <row r="31" spans="2:20">
      <c r="B31" s="39" t="s">
        <v>366</v>
      </c>
      <c r="C31" s="39" t="s">
        <v>18</v>
      </c>
      <c r="D31" s="22" t="s">
        <v>20</v>
      </c>
      <c r="H31" t="s">
        <v>368</v>
      </c>
      <c r="M31" s="23" t="s">
        <v>369</v>
      </c>
      <c r="O31" s="22">
        <v>1020</v>
      </c>
      <c r="P31" s="33" t="s">
        <v>370</v>
      </c>
      <c r="Q31">
        <v>2550</v>
      </c>
      <c r="R31" s="9">
        <f t="shared" ref="R31:R51" si="1">O31*Q31</f>
        <v>2601000</v>
      </c>
      <c r="S31" s="36" t="s">
        <v>311</v>
      </c>
      <c r="T31" s="111" t="s">
        <v>367</v>
      </c>
    </row>
    <row r="32" spans="2:20">
      <c r="R32" s="9"/>
    </row>
    <row r="33" spans="2:20" s="56" customFormat="1" ht="14.1" customHeight="1">
      <c r="B33" s="53" t="s">
        <v>366</v>
      </c>
      <c r="C33" s="54" t="s">
        <v>18</v>
      </c>
      <c r="D33" s="54" t="s">
        <v>20</v>
      </c>
      <c r="E33" s="53" t="s">
        <v>18</v>
      </c>
      <c r="F33" s="54" t="s">
        <v>20</v>
      </c>
      <c r="G33" s="54"/>
      <c r="H33" s="53" t="s">
        <v>371</v>
      </c>
      <c r="I33" s="31" t="s">
        <v>23</v>
      </c>
      <c r="J33" s="53" t="s">
        <v>24</v>
      </c>
      <c r="K33" s="53"/>
      <c r="L33" s="55">
        <v>400026</v>
      </c>
      <c r="M33" s="53" t="s">
        <v>374</v>
      </c>
      <c r="N33" s="53"/>
      <c r="O33" s="57">
        <v>2480</v>
      </c>
      <c r="P33" s="33" t="s">
        <v>381</v>
      </c>
      <c r="Q33" s="60" t="s">
        <v>384</v>
      </c>
      <c r="R33" s="9">
        <f t="shared" si="1"/>
        <v>1748400</v>
      </c>
      <c r="S33" s="36" t="s">
        <v>311</v>
      </c>
      <c r="T33" s="113" t="s">
        <v>373</v>
      </c>
    </row>
    <row r="34" spans="2:20">
      <c r="B34" s="28" t="s">
        <v>47</v>
      </c>
      <c r="H34" t="s">
        <v>382</v>
      </c>
      <c r="M34" s="58" t="s">
        <v>379</v>
      </c>
      <c r="N34" s="58"/>
      <c r="O34" s="59">
        <v>1520</v>
      </c>
      <c r="P34" s="33" t="s">
        <v>381</v>
      </c>
      <c r="Q34" s="60" t="s">
        <v>384</v>
      </c>
      <c r="R34" s="9">
        <f t="shared" si="1"/>
        <v>1071600</v>
      </c>
      <c r="S34" s="36" t="s">
        <v>311</v>
      </c>
      <c r="T34" s="113" t="s">
        <v>373</v>
      </c>
    </row>
    <row r="35" spans="2:20">
      <c r="B35" s="28" t="s">
        <v>47</v>
      </c>
      <c r="C35" s="28"/>
      <c r="D35" s="28"/>
      <c r="E35" s="58"/>
      <c r="F35" s="28"/>
      <c r="G35" s="58"/>
      <c r="H35" t="s">
        <v>383</v>
      </c>
      <c r="M35" s="58" t="s">
        <v>380</v>
      </c>
      <c r="N35" s="58"/>
      <c r="O35" s="59">
        <v>4080</v>
      </c>
      <c r="P35" s="33" t="s">
        <v>381</v>
      </c>
      <c r="Q35" s="60" t="s">
        <v>384</v>
      </c>
      <c r="R35" s="9">
        <f t="shared" si="1"/>
        <v>2876400</v>
      </c>
      <c r="S35" s="36" t="s">
        <v>311</v>
      </c>
      <c r="T35" s="113" t="s">
        <v>373</v>
      </c>
    </row>
    <row r="36" spans="2:20">
      <c r="B36" s="28"/>
      <c r="C36" s="28"/>
      <c r="D36" s="28"/>
      <c r="E36" s="58"/>
      <c r="F36" s="28"/>
      <c r="G36" s="58"/>
      <c r="M36" s="116" t="s">
        <v>463</v>
      </c>
      <c r="N36" s="58"/>
      <c r="O36" s="117">
        <v>900</v>
      </c>
      <c r="P36" s="33"/>
      <c r="Q36" s="60"/>
      <c r="R36" s="9"/>
      <c r="S36" s="36"/>
      <c r="T36" s="113"/>
    </row>
    <row r="37" spans="2:20">
      <c r="B37" s="28"/>
      <c r="C37" s="28"/>
      <c r="D37" s="28"/>
      <c r="E37" s="52"/>
      <c r="F37" s="28"/>
      <c r="G37" s="52"/>
      <c r="R37" s="9"/>
    </row>
    <row r="38" spans="2:20" s="63" customFormat="1">
      <c r="B38" s="61" t="s">
        <v>366</v>
      </c>
      <c r="C38" s="61" t="s">
        <v>18</v>
      </c>
      <c r="D38" s="61" t="s">
        <v>20</v>
      </c>
      <c r="E38" s="61" t="s">
        <v>20</v>
      </c>
      <c r="F38" s="61"/>
      <c r="G38" s="61" t="s">
        <v>18</v>
      </c>
      <c r="H38" s="61" t="s">
        <v>385</v>
      </c>
      <c r="I38" s="61" t="s">
        <v>23</v>
      </c>
      <c r="J38" s="61" t="s">
        <v>24</v>
      </c>
      <c r="K38" s="61"/>
      <c r="L38" s="61">
        <v>400026</v>
      </c>
      <c r="M38" s="61" t="s">
        <v>299</v>
      </c>
      <c r="N38" s="66">
        <v>1563</v>
      </c>
      <c r="O38" s="62">
        <v>15630</v>
      </c>
      <c r="P38" s="33" t="s">
        <v>396</v>
      </c>
      <c r="Q38" s="6">
        <v>129</v>
      </c>
      <c r="R38" s="9">
        <f t="shared" si="1"/>
        <v>2016270</v>
      </c>
      <c r="S38" s="36" t="s">
        <v>311</v>
      </c>
      <c r="T38" s="114" t="s">
        <v>318</v>
      </c>
    </row>
    <row r="39" spans="2:20" s="30" customFormat="1">
      <c r="B39" s="31" t="s">
        <v>389</v>
      </c>
      <c r="C39" s="31"/>
      <c r="D39" s="31" t="s">
        <v>391</v>
      </c>
      <c r="E39" s="31"/>
      <c r="F39" s="31"/>
      <c r="H39" s="31" t="s">
        <v>392</v>
      </c>
      <c r="I39" s="31"/>
      <c r="J39" t="s">
        <v>386</v>
      </c>
      <c r="K39"/>
      <c r="L39"/>
      <c r="M39" s="64" t="s">
        <v>387</v>
      </c>
      <c r="N39" s="67">
        <v>312</v>
      </c>
      <c r="O39" s="65">
        <v>3120</v>
      </c>
      <c r="P39" s="33" t="s">
        <v>317</v>
      </c>
      <c r="Q39" s="6">
        <v>129</v>
      </c>
      <c r="R39" s="9">
        <f t="shared" si="1"/>
        <v>402480</v>
      </c>
      <c r="S39" s="36" t="s">
        <v>311</v>
      </c>
      <c r="T39" s="114" t="s">
        <v>318</v>
      </c>
    </row>
    <row r="40" spans="2:20" s="30" customFormat="1">
      <c r="B40" s="108" t="s">
        <v>386</v>
      </c>
      <c r="C40" s="31"/>
      <c r="D40" s="31" t="s">
        <v>393</v>
      </c>
      <c r="E40" s="31"/>
      <c r="F40" s="31"/>
      <c r="H40" s="31" t="s">
        <v>394</v>
      </c>
      <c r="I40" s="31"/>
      <c r="J40" t="s">
        <v>386</v>
      </c>
      <c r="K40"/>
      <c r="L40"/>
      <c r="M40" s="64" t="s">
        <v>388</v>
      </c>
      <c r="N40" s="67">
        <v>180</v>
      </c>
      <c r="O40" s="65">
        <v>1800</v>
      </c>
      <c r="P40" s="33" t="s">
        <v>317</v>
      </c>
      <c r="Q40" s="6">
        <v>129</v>
      </c>
      <c r="R40" s="9">
        <f t="shared" si="1"/>
        <v>232200</v>
      </c>
      <c r="S40" s="36" t="s">
        <v>311</v>
      </c>
      <c r="T40" s="114" t="s">
        <v>318</v>
      </c>
    </row>
    <row r="41" spans="2:20" s="37" customFormat="1">
      <c r="B41" s="31" t="s">
        <v>395</v>
      </c>
      <c r="C41" s="31"/>
      <c r="D41" s="37" t="s">
        <v>391</v>
      </c>
      <c r="E41" s="31"/>
      <c r="F41" s="31"/>
      <c r="H41" s="37" t="s">
        <v>392</v>
      </c>
      <c r="I41" s="31"/>
      <c r="J41" t="s">
        <v>389</v>
      </c>
      <c r="K41"/>
      <c r="L41"/>
      <c r="M41" s="64" t="s">
        <v>390</v>
      </c>
      <c r="N41" s="65">
        <v>13068</v>
      </c>
      <c r="O41" s="65">
        <v>130680</v>
      </c>
      <c r="P41" s="33" t="s">
        <v>317</v>
      </c>
      <c r="Q41" s="6">
        <v>129</v>
      </c>
      <c r="R41" s="9">
        <f t="shared" si="1"/>
        <v>16857720</v>
      </c>
      <c r="S41" s="36" t="s">
        <v>311</v>
      </c>
      <c r="T41" s="114" t="s">
        <v>318</v>
      </c>
    </row>
    <row r="42" spans="2:20" s="63" customFormat="1">
      <c r="B42" s="61"/>
      <c r="C42" s="61"/>
      <c r="D42" s="61"/>
      <c r="E42" s="61"/>
      <c r="F42" s="61"/>
      <c r="G42" s="61"/>
      <c r="H42" s="61"/>
      <c r="I42" s="61"/>
      <c r="J42" s="61"/>
      <c r="K42" s="61"/>
      <c r="L42" s="61"/>
      <c r="M42" s="61"/>
      <c r="N42" s="6"/>
      <c r="O42" s="62"/>
      <c r="P42" s="62"/>
      <c r="Q42" s="6"/>
      <c r="R42" s="9"/>
    </row>
    <row r="43" spans="2:20" s="63" customFormat="1">
      <c r="B43" s="61" t="s">
        <v>507</v>
      </c>
      <c r="C43" s="61"/>
      <c r="D43" s="61" t="s">
        <v>18</v>
      </c>
      <c r="E43" s="61"/>
      <c r="F43" s="61"/>
      <c r="G43" s="61"/>
      <c r="H43" s="61" t="s">
        <v>402</v>
      </c>
      <c r="I43" s="61"/>
      <c r="J43" s="28" t="s">
        <v>47</v>
      </c>
      <c r="K43" s="28"/>
      <c r="L43" s="28"/>
      <c r="M43" s="28" t="s">
        <v>399</v>
      </c>
      <c r="N43" s="28"/>
      <c r="O43" s="38">
        <v>4835</v>
      </c>
      <c r="P43" s="62"/>
      <c r="Q43" s="6">
        <v>988</v>
      </c>
      <c r="R43" s="9">
        <f t="shared" si="1"/>
        <v>4776980</v>
      </c>
      <c r="S43" s="63" t="s">
        <v>312</v>
      </c>
      <c r="T43" s="114" t="s">
        <v>324</v>
      </c>
    </row>
    <row r="44" spans="2:20" s="63" customFormat="1">
      <c r="B44" s="61" t="s">
        <v>361</v>
      </c>
      <c r="C44" s="61"/>
      <c r="D44" s="61" t="s">
        <v>18</v>
      </c>
      <c r="E44" s="61"/>
      <c r="F44" s="61"/>
      <c r="G44" s="61"/>
      <c r="H44" s="61" t="s">
        <v>403</v>
      </c>
      <c r="I44" s="61"/>
      <c r="J44" s="28" t="s">
        <v>47</v>
      </c>
      <c r="K44" s="28"/>
      <c r="L44" s="28"/>
      <c r="M44" s="28" t="s">
        <v>400</v>
      </c>
      <c r="N44" s="28"/>
      <c r="O44" s="38">
        <v>66</v>
      </c>
      <c r="P44" s="62"/>
      <c r="Q44" s="6">
        <v>988</v>
      </c>
      <c r="R44" s="9">
        <f t="shared" si="1"/>
        <v>65208</v>
      </c>
      <c r="S44" s="71" t="s">
        <v>401</v>
      </c>
      <c r="T44" s="114" t="s">
        <v>324</v>
      </c>
    </row>
    <row r="45" spans="2:20" s="63" customFormat="1">
      <c r="B45" s="61"/>
      <c r="C45" s="61"/>
      <c r="D45" s="61"/>
      <c r="E45" s="61"/>
      <c r="F45" s="61"/>
      <c r="G45" s="61"/>
      <c r="H45" s="61"/>
      <c r="I45" s="61"/>
      <c r="J45" s="28"/>
      <c r="K45" s="28"/>
      <c r="L45" s="28"/>
      <c r="M45" s="28"/>
      <c r="N45" s="28"/>
      <c r="O45" s="38"/>
      <c r="P45" s="62"/>
      <c r="Q45" s="6"/>
      <c r="R45" s="9"/>
      <c r="S45" s="71"/>
    </row>
    <row r="46" spans="2:20" s="63" customFormat="1">
      <c r="B46" s="61" t="s">
        <v>507</v>
      </c>
      <c r="C46" s="61"/>
      <c r="D46" s="61" t="s">
        <v>18</v>
      </c>
      <c r="E46" s="61"/>
      <c r="F46" s="61"/>
      <c r="G46" s="61"/>
      <c r="H46" s="61" t="s">
        <v>402</v>
      </c>
      <c r="I46" s="61"/>
      <c r="J46" s="28" t="s">
        <v>47</v>
      </c>
      <c r="K46" s="28"/>
      <c r="L46" s="28"/>
      <c r="M46" s="28" t="s">
        <v>506</v>
      </c>
      <c r="N46" s="28"/>
      <c r="O46" s="38">
        <v>5511</v>
      </c>
      <c r="P46" s="62"/>
      <c r="Q46" s="6">
        <v>925</v>
      </c>
      <c r="R46" s="9">
        <f t="shared" ref="R46:R47" si="2">O46*Q46</f>
        <v>5097675</v>
      </c>
      <c r="S46" s="63" t="s">
        <v>312</v>
      </c>
      <c r="T46" s="111" t="s">
        <v>337</v>
      </c>
    </row>
    <row r="47" spans="2:20" s="63" customFormat="1">
      <c r="B47" s="61" t="s">
        <v>361</v>
      </c>
      <c r="C47" s="61"/>
      <c r="D47" s="61" t="s">
        <v>18</v>
      </c>
      <c r="E47" s="61"/>
      <c r="F47" s="61"/>
      <c r="G47" s="61"/>
      <c r="H47" s="61" t="s">
        <v>403</v>
      </c>
      <c r="I47" s="61"/>
      <c r="J47" s="28" t="s">
        <v>47</v>
      </c>
      <c r="K47" s="28"/>
      <c r="L47" s="28"/>
      <c r="M47" s="28" t="s">
        <v>505</v>
      </c>
      <c r="N47" s="28"/>
      <c r="O47" s="38">
        <v>75</v>
      </c>
      <c r="P47" s="62"/>
      <c r="Q47" s="6">
        <v>925</v>
      </c>
      <c r="R47" s="9">
        <f t="shared" si="2"/>
        <v>69375</v>
      </c>
      <c r="S47" s="71" t="s">
        <v>401</v>
      </c>
      <c r="T47" s="111" t="s">
        <v>337</v>
      </c>
    </row>
    <row r="48" spans="2:20" s="63" customFormat="1">
      <c r="B48" s="61"/>
      <c r="C48" s="61"/>
      <c r="D48" s="61"/>
      <c r="E48" s="61"/>
      <c r="F48" s="61"/>
      <c r="G48" s="61"/>
      <c r="H48" s="61"/>
      <c r="I48" s="61"/>
      <c r="J48" s="61"/>
      <c r="K48" s="61"/>
      <c r="L48" s="61"/>
      <c r="M48" s="61"/>
      <c r="N48" s="6"/>
      <c r="O48" s="62"/>
      <c r="P48" s="62"/>
      <c r="Q48" s="6"/>
      <c r="R48" s="9"/>
    </row>
    <row r="49" spans="2:24" s="63" customFormat="1">
      <c r="B49" t="s">
        <v>404</v>
      </c>
      <c r="C49" s="61"/>
      <c r="D49" s="61"/>
      <c r="E49" s="61"/>
      <c r="F49" s="61"/>
      <c r="G49" s="61"/>
      <c r="H49" s="72" t="s">
        <v>407</v>
      </c>
      <c r="I49" s="61"/>
      <c r="J49" s="61"/>
      <c r="K49" s="61"/>
      <c r="L49" s="61"/>
      <c r="M49" s="61" t="s">
        <v>406</v>
      </c>
      <c r="N49" s="6"/>
      <c r="O49" s="6">
        <v>1600</v>
      </c>
      <c r="P49" s="62"/>
      <c r="Q49" s="62">
        <v>341</v>
      </c>
      <c r="R49" s="9">
        <f t="shared" si="1"/>
        <v>545600</v>
      </c>
      <c r="S49" s="63" t="s">
        <v>312</v>
      </c>
      <c r="T49" s="114" t="s">
        <v>405</v>
      </c>
    </row>
    <row r="50" spans="2:24">
      <c r="B50" s="28"/>
      <c r="C50" s="28"/>
      <c r="D50" s="28"/>
      <c r="E50" s="52"/>
      <c r="F50" s="28"/>
      <c r="G50" s="52"/>
      <c r="R50" s="9"/>
    </row>
    <row r="51" spans="2:24">
      <c r="B51" s="73" t="s">
        <v>408</v>
      </c>
      <c r="C51" s="28"/>
      <c r="D51" s="28"/>
      <c r="E51" s="52"/>
      <c r="F51" s="28"/>
      <c r="G51" s="52"/>
      <c r="H51" s="61" t="s">
        <v>410</v>
      </c>
      <c r="I51" s="22"/>
      <c r="J51" s="22"/>
      <c r="M51" s="103">
        <v>16509</v>
      </c>
      <c r="N51" s="22"/>
      <c r="O51" s="73">
        <v>6486</v>
      </c>
      <c r="Q51" s="6">
        <v>885</v>
      </c>
      <c r="R51" s="9">
        <f t="shared" si="1"/>
        <v>5740110</v>
      </c>
      <c r="S51" s="36" t="s">
        <v>311</v>
      </c>
      <c r="T51" s="114" t="s">
        <v>409</v>
      </c>
    </row>
    <row r="52" spans="2:24">
      <c r="B52" s="73"/>
      <c r="C52" s="28"/>
      <c r="D52" s="28"/>
      <c r="E52" s="52"/>
      <c r="F52" s="28"/>
      <c r="G52" s="52"/>
      <c r="H52" s="61"/>
      <c r="I52" s="22"/>
      <c r="J52" s="22"/>
      <c r="M52" s="73"/>
      <c r="N52" s="22"/>
      <c r="O52" s="73"/>
      <c r="Q52" s="6"/>
      <c r="R52" s="9"/>
      <c r="S52" s="36"/>
      <c r="T52" s="63"/>
    </row>
    <row r="53" spans="2:24">
      <c r="B53" s="28" t="s">
        <v>47</v>
      </c>
      <c r="C53" s="26"/>
      <c r="D53" s="26"/>
      <c r="E53" s="26"/>
      <c r="F53" s="26"/>
      <c r="G53" s="26"/>
      <c r="H53" s="26" t="s">
        <v>485</v>
      </c>
      <c r="I53" s="26"/>
      <c r="J53" s="26"/>
      <c r="K53" s="26"/>
      <c r="L53" s="26"/>
      <c r="M53" s="102" t="s">
        <v>484</v>
      </c>
      <c r="N53" s="26"/>
      <c r="O53" s="40">
        <v>435</v>
      </c>
      <c r="P53" s="33"/>
      <c r="Q53">
        <v>429</v>
      </c>
      <c r="R53" s="9">
        <f t="shared" ref="R53:R55" si="3">O53*Q53</f>
        <v>186615</v>
      </c>
      <c r="S53" t="s">
        <v>312</v>
      </c>
      <c r="T53" s="111" t="s">
        <v>482</v>
      </c>
    </row>
    <row r="54" spans="2:24">
      <c r="B54" s="73"/>
      <c r="C54" s="28"/>
      <c r="D54" s="28"/>
      <c r="E54" s="52"/>
      <c r="F54" s="28"/>
      <c r="G54" s="52"/>
      <c r="H54" s="61"/>
      <c r="I54" s="22"/>
      <c r="J54" s="22"/>
      <c r="M54" s="73"/>
      <c r="N54" s="22"/>
      <c r="O54" s="73"/>
      <c r="Q54" s="6"/>
      <c r="R54" s="9">
        <f t="shared" si="3"/>
        <v>0</v>
      </c>
      <c r="S54" s="36"/>
      <c r="T54" s="63"/>
    </row>
    <row r="55" spans="2:24">
      <c r="B55" t="s">
        <v>361</v>
      </c>
      <c r="C55" s="28"/>
      <c r="D55" s="28"/>
      <c r="E55" s="52"/>
      <c r="F55" s="28"/>
      <c r="G55" s="52"/>
      <c r="H55" s="61" t="s">
        <v>486</v>
      </c>
      <c r="I55" s="22"/>
      <c r="J55" s="22"/>
      <c r="M55" s="104" t="s">
        <v>487</v>
      </c>
      <c r="N55" s="22"/>
      <c r="O55" s="73">
        <v>1360</v>
      </c>
      <c r="Q55" s="6">
        <v>193</v>
      </c>
      <c r="R55" s="9">
        <f t="shared" si="3"/>
        <v>262480</v>
      </c>
      <c r="S55" s="36" t="s">
        <v>311</v>
      </c>
      <c r="T55" s="114" t="s">
        <v>488</v>
      </c>
    </row>
    <row r="56" spans="2:24">
      <c r="C56" s="28"/>
      <c r="D56" s="28"/>
      <c r="E56" s="52"/>
      <c r="F56" s="28"/>
      <c r="G56" s="52"/>
      <c r="H56" s="61"/>
      <c r="I56" s="22"/>
      <c r="J56" s="22"/>
      <c r="M56" s="104"/>
      <c r="N56" s="22"/>
      <c r="O56" s="73"/>
      <c r="Q56" s="6"/>
      <c r="R56" s="9"/>
      <c r="S56" s="36"/>
      <c r="T56" s="114"/>
    </row>
    <row r="57" spans="2:24">
      <c r="C57" s="28"/>
      <c r="D57" s="28"/>
      <c r="E57" s="52"/>
      <c r="F57" s="28"/>
      <c r="G57" s="52"/>
      <c r="H57" s="61"/>
      <c r="I57" s="22"/>
      <c r="J57" s="22"/>
      <c r="M57" s="124" t="s">
        <v>511</v>
      </c>
      <c r="N57" s="22"/>
      <c r="O57" s="125">
        <v>1860</v>
      </c>
      <c r="Q57" s="6">
        <v>2200</v>
      </c>
      <c r="R57" s="9"/>
      <c r="S57" s="36"/>
      <c r="T57" s="115" t="s">
        <v>454</v>
      </c>
    </row>
    <row r="58" spans="2:24">
      <c r="C58" s="28"/>
      <c r="D58" s="28"/>
      <c r="E58" s="52"/>
      <c r="F58" s="28"/>
      <c r="G58" s="52"/>
      <c r="H58" s="61"/>
      <c r="I58" s="22"/>
      <c r="J58" s="22"/>
      <c r="M58" s="104"/>
      <c r="N58" s="22"/>
      <c r="O58" s="73"/>
      <c r="Q58" s="6"/>
      <c r="R58" s="9"/>
      <c r="S58" s="36"/>
      <c r="T58" s="114"/>
    </row>
    <row r="59" spans="2:24">
      <c r="C59" s="28"/>
      <c r="D59" s="28"/>
      <c r="E59" s="52"/>
      <c r="F59" s="28"/>
      <c r="G59" s="52"/>
      <c r="H59" s="61"/>
      <c r="I59" s="22"/>
      <c r="J59" s="22"/>
      <c r="M59" s="120" t="s">
        <v>459</v>
      </c>
      <c r="N59" s="22"/>
      <c r="O59" s="125">
        <v>930</v>
      </c>
      <c r="Q59" s="6"/>
      <c r="R59" s="9"/>
      <c r="S59" s="36"/>
      <c r="T59" s="111" t="s">
        <v>461</v>
      </c>
    </row>
    <row r="60" spans="2:24">
      <c r="B60" s="28"/>
      <c r="C60" s="28"/>
      <c r="D60" s="28"/>
      <c r="E60" s="52"/>
      <c r="F60" s="28"/>
      <c r="G60" s="52"/>
      <c r="H60" s="73"/>
      <c r="I60" s="22"/>
      <c r="J60" s="22"/>
      <c r="K60" s="73"/>
      <c r="L60" s="22"/>
      <c r="M60" s="73"/>
    </row>
    <row r="61" spans="2:24">
      <c r="B61" s="83"/>
      <c r="C61" s="83"/>
      <c r="D61" s="83"/>
      <c r="E61" s="84"/>
      <c r="F61" s="83"/>
      <c r="G61" s="84"/>
      <c r="H61" s="85"/>
      <c r="I61" s="20"/>
      <c r="J61" s="20"/>
      <c r="K61" s="85"/>
      <c r="L61" s="20"/>
      <c r="M61" s="85"/>
      <c r="N61" s="50"/>
      <c r="O61" s="50"/>
      <c r="P61" s="50"/>
      <c r="Q61" s="50"/>
      <c r="R61" s="51">
        <f>SUM(R28:R60)</f>
        <v>45970913</v>
      </c>
      <c r="S61" s="50"/>
      <c r="T61" s="50"/>
    </row>
    <row r="62" spans="2:24">
      <c r="B62" s="28"/>
      <c r="C62" s="28"/>
      <c r="D62" s="28"/>
      <c r="E62" s="52"/>
      <c r="F62" s="28"/>
      <c r="G62" s="52"/>
      <c r="H62" s="73"/>
      <c r="I62" s="22"/>
      <c r="J62" s="22"/>
      <c r="K62" s="73"/>
      <c r="L62" s="22"/>
      <c r="M62" s="73"/>
    </row>
    <row r="63" spans="2:24" s="30" customFormat="1">
      <c r="B63" s="22" t="s">
        <v>246</v>
      </c>
      <c r="C63" s="22" t="s">
        <v>18</v>
      </c>
      <c r="D63" s="22" t="s">
        <v>20</v>
      </c>
      <c r="E63" s="22" t="s">
        <v>21</v>
      </c>
      <c r="F63" s="22"/>
      <c r="G63" s="22"/>
      <c r="H63" s="22" t="s">
        <v>453</v>
      </c>
      <c r="I63" s="22" t="s">
        <v>23</v>
      </c>
      <c r="J63" s="22" t="s">
        <v>208</v>
      </c>
      <c r="K63" s="22" t="s">
        <v>218</v>
      </c>
      <c r="L63" s="22"/>
      <c r="M63" s="122" t="s">
        <v>457</v>
      </c>
      <c r="N63" s="22"/>
      <c r="O63" s="123">
        <v>1860</v>
      </c>
      <c r="P63" s="87"/>
      <c r="Q63" s="62">
        <v>2200</v>
      </c>
      <c r="R63" s="9">
        <f t="shared" ref="R63:R70" si="4">O63*Q63</f>
        <v>4092000</v>
      </c>
      <c r="S63" s="22" t="s">
        <v>47</v>
      </c>
      <c r="T63" s="115" t="s">
        <v>454</v>
      </c>
      <c r="U63" s="22"/>
      <c r="W63" s="22"/>
      <c r="X63" s="22"/>
    </row>
    <row r="64" spans="2:24" s="30" customFormat="1">
      <c r="B64" s="22" t="s">
        <v>249</v>
      </c>
      <c r="C64" s="22" t="s">
        <v>20</v>
      </c>
      <c r="D64" s="22"/>
      <c r="E64" s="22" t="s">
        <v>21</v>
      </c>
      <c r="F64" s="22"/>
      <c r="G64" s="22"/>
      <c r="H64" s="22" t="s">
        <v>455</v>
      </c>
      <c r="I64" s="22" t="s">
        <v>23</v>
      </c>
      <c r="J64" s="22" t="s">
        <v>208</v>
      </c>
      <c r="K64" s="22" t="s">
        <v>218</v>
      </c>
      <c r="L64" s="22">
        <v>400026</v>
      </c>
      <c r="M64" s="88" t="s">
        <v>458</v>
      </c>
      <c r="N64" s="22"/>
      <c r="O64" s="22">
        <v>1810</v>
      </c>
      <c r="P64" s="87"/>
      <c r="Q64" s="62">
        <v>2200</v>
      </c>
      <c r="R64" s="9">
        <f t="shared" si="4"/>
        <v>3982000</v>
      </c>
      <c r="S64" s="36" t="s">
        <v>311</v>
      </c>
      <c r="T64" s="115" t="s">
        <v>454</v>
      </c>
    </row>
    <row r="65" spans="1:20">
      <c r="B65" s="28"/>
      <c r="C65" s="28"/>
      <c r="D65" s="28"/>
      <c r="E65" s="52"/>
      <c r="F65" s="28"/>
      <c r="G65" s="52"/>
      <c r="H65" s="73"/>
      <c r="I65" s="22"/>
      <c r="J65" s="22"/>
      <c r="K65" s="73"/>
      <c r="L65" s="22"/>
      <c r="M65" s="73"/>
      <c r="R65" s="9"/>
    </row>
    <row r="66" spans="1:20">
      <c r="B66" s="26" t="s">
        <v>246</v>
      </c>
      <c r="C66" s="26" t="s">
        <v>18</v>
      </c>
      <c r="D66" s="26" t="s">
        <v>20</v>
      </c>
      <c r="E66" s="26" t="s">
        <v>456</v>
      </c>
      <c r="F66" s="26" t="s">
        <v>303</v>
      </c>
      <c r="G66" s="26" t="s">
        <v>303</v>
      </c>
      <c r="H66" s="26" t="s">
        <v>453</v>
      </c>
      <c r="I66" s="26" t="s">
        <v>23</v>
      </c>
      <c r="J66" s="26" t="s">
        <v>303</v>
      </c>
      <c r="K66" s="26" t="s">
        <v>303</v>
      </c>
      <c r="L66" s="26" t="s">
        <v>305</v>
      </c>
      <c r="M66" s="120" t="s">
        <v>459</v>
      </c>
      <c r="N66" s="26" t="s">
        <v>303</v>
      </c>
      <c r="O66" s="121">
        <v>930</v>
      </c>
      <c r="Q66" s="5">
        <v>405</v>
      </c>
      <c r="R66" s="9">
        <f t="shared" si="4"/>
        <v>376650</v>
      </c>
      <c r="S66" s="22" t="s">
        <v>47</v>
      </c>
      <c r="T66" s="111" t="s">
        <v>461</v>
      </c>
    </row>
    <row r="67" spans="1:20">
      <c r="B67" s="26" t="s">
        <v>249</v>
      </c>
      <c r="C67" s="26" t="s">
        <v>20</v>
      </c>
      <c r="D67" s="26" t="s">
        <v>303</v>
      </c>
      <c r="E67" s="26" t="s">
        <v>456</v>
      </c>
      <c r="F67" s="26" t="s">
        <v>303</v>
      </c>
      <c r="G67" s="26" t="s">
        <v>303</v>
      </c>
      <c r="H67" s="26" t="s">
        <v>455</v>
      </c>
      <c r="I67" s="26" t="s">
        <v>23</v>
      </c>
      <c r="J67" s="26" t="s">
        <v>303</v>
      </c>
      <c r="K67" s="26" t="s">
        <v>303</v>
      </c>
      <c r="L67" s="26" t="s">
        <v>305</v>
      </c>
      <c r="M67" s="26" t="s">
        <v>460</v>
      </c>
      <c r="N67" s="26" t="s">
        <v>303</v>
      </c>
      <c r="O67" s="5">
        <v>905</v>
      </c>
      <c r="Q67" s="5">
        <v>405</v>
      </c>
      <c r="R67" s="9">
        <f t="shared" si="4"/>
        <v>366525</v>
      </c>
      <c r="S67" s="36" t="s">
        <v>311</v>
      </c>
      <c r="T67" s="111" t="s">
        <v>461</v>
      </c>
    </row>
    <row r="68" spans="1:20">
      <c r="B68" s="26"/>
      <c r="C68" s="26"/>
      <c r="D68" s="26"/>
      <c r="E68" s="26"/>
      <c r="F68" s="26"/>
      <c r="G68" s="26"/>
      <c r="H68" s="26"/>
      <c r="I68" s="26"/>
      <c r="J68" s="26"/>
      <c r="K68" s="26"/>
      <c r="L68" s="26"/>
      <c r="M68" s="26"/>
      <c r="N68" s="26"/>
      <c r="O68" s="5"/>
      <c r="P68" s="111"/>
      <c r="Q68" s="5"/>
      <c r="R68" s="9"/>
      <c r="S68" s="36"/>
    </row>
    <row r="69" spans="1:20" s="30" customFormat="1">
      <c r="B69" s="31" t="s">
        <v>246</v>
      </c>
      <c r="C69" s="22" t="s">
        <v>18</v>
      </c>
      <c r="D69" s="22" t="s">
        <v>20</v>
      </c>
      <c r="E69" s="31" t="s">
        <v>21</v>
      </c>
      <c r="F69" s="22"/>
      <c r="G69" s="22"/>
      <c r="H69" s="31" t="s">
        <v>464</v>
      </c>
      <c r="I69" s="31" t="s">
        <v>23</v>
      </c>
      <c r="J69" s="31" t="s">
        <v>24</v>
      </c>
      <c r="K69" s="31"/>
      <c r="L69" s="31">
        <v>400006</v>
      </c>
      <c r="M69" s="31" t="s">
        <v>479</v>
      </c>
      <c r="N69" s="33">
        <v>168</v>
      </c>
      <c r="O69" s="33">
        <v>1680</v>
      </c>
      <c r="P69" s="74"/>
      <c r="Q69" s="5">
        <v>130</v>
      </c>
      <c r="R69" s="9">
        <f t="shared" si="4"/>
        <v>218400</v>
      </c>
      <c r="S69" s="36" t="s">
        <v>311</v>
      </c>
      <c r="T69" s="113" t="s">
        <v>318</v>
      </c>
    </row>
    <row r="70" spans="1:20">
      <c r="B70" t="s">
        <v>421</v>
      </c>
      <c r="C70" s="26"/>
      <c r="D70" s="26"/>
      <c r="E70" s="26"/>
      <c r="F70" s="26"/>
      <c r="G70" s="26"/>
      <c r="H70" s="26"/>
      <c r="I70" s="26"/>
      <c r="J70" s="26"/>
      <c r="K70" s="26"/>
      <c r="L70" s="26"/>
      <c r="M70" s="64" t="s">
        <v>478</v>
      </c>
      <c r="N70" s="5">
        <v>169</v>
      </c>
      <c r="O70" s="5">
        <v>1690</v>
      </c>
      <c r="Q70" s="5">
        <v>130</v>
      </c>
      <c r="R70" s="9">
        <f t="shared" si="4"/>
        <v>219700</v>
      </c>
      <c r="S70" s="36" t="s">
        <v>311</v>
      </c>
      <c r="T70" s="113" t="s">
        <v>318</v>
      </c>
    </row>
    <row r="71" spans="1:20" s="30" customFormat="1">
      <c r="B71" s="31" t="s">
        <v>249</v>
      </c>
      <c r="C71" s="22" t="s">
        <v>18</v>
      </c>
      <c r="D71" s="22" t="s">
        <v>20</v>
      </c>
      <c r="E71" s="31" t="s">
        <v>20</v>
      </c>
      <c r="F71" s="22" t="s">
        <v>18</v>
      </c>
      <c r="G71" s="22" t="s">
        <v>19</v>
      </c>
      <c r="H71" s="31" t="s">
        <v>508</v>
      </c>
      <c r="I71" s="31" t="s">
        <v>23</v>
      </c>
      <c r="J71" s="31" t="s">
        <v>24</v>
      </c>
      <c r="K71" s="31"/>
      <c r="L71" s="31">
        <v>400026</v>
      </c>
      <c r="M71" s="31" t="s">
        <v>509</v>
      </c>
      <c r="N71" s="33">
        <v>168</v>
      </c>
      <c r="O71" s="33">
        <v>1680</v>
      </c>
      <c r="P71" s="74"/>
      <c r="Q71" s="5">
        <v>130</v>
      </c>
      <c r="R71" s="9">
        <f t="shared" ref="R71:R72" si="5">O71*Q71</f>
        <v>218400</v>
      </c>
      <c r="S71" s="36" t="s">
        <v>311</v>
      </c>
      <c r="T71" s="113" t="s">
        <v>318</v>
      </c>
    </row>
    <row r="72" spans="1:20" s="30" customFormat="1">
      <c r="B72" s="31" t="s">
        <v>249</v>
      </c>
      <c r="C72" s="22" t="s">
        <v>20</v>
      </c>
      <c r="D72" s="22"/>
      <c r="E72" s="31" t="s">
        <v>20</v>
      </c>
      <c r="F72" s="22" t="s">
        <v>18</v>
      </c>
      <c r="G72" s="22"/>
      <c r="H72" s="31" t="s">
        <v>474</v>
      </c>
      <c r="I72" s="31" t="s">
        <v>23</v>
      </c>
      <c r="J72" s="31" t="s">
        <v>24</v>
      </c>
      <c r="K72" s="31"/>
      <c r="L72" s="31">
        <v>400026</v>
      </c>
      <c r="M72" s="31" t="s">
        <v>510</v>
      </c>
      <c r="N72" s="33">
        <v>507</v>
      </c>
      <c r="O72" s="33">
        <v>5070</v>
      </c>
      <c r="P72" s="74"/>
      <c r="Q72" s="5">
        <v>130</v>
      </c>
      <c r="R72" s="9">
        <f t="shared" si="5"/>
        <v>659100</v>
      </c>
      <c r="S72" s="36" t="s">
        <v>311</v>
      </c>
      <c r="T72" s="113" t="s">
        <v>318</v>
      </c>
    </row>
    <row r="73" spans="1:20" s="30" customFormat="1">
      <c r="A73" s="109"/>
      <c r="B73" s="22"/>
      <c r="C73" s="22"/>
      <c r="D73" s="109"/>
      <c r="E73" s="22"/>
      <c r="F73" s="22"/>
      <c r="G73" s="109"/>
      <c r="H73" s="109"/>
      <c r="I73" s="109"/>
      <c r="J73" s="109"/>
      <c r="K73" s="109"/>
      <c r="L73" s="109"/>
      <c r="M73" s="109"/>
      <c r="N73" s="109"/>
      <c r="O73" s="110"/>
      <c r="P73" s="109"/>
    </row>
    <row r="74" spans="1:20">
      <c r="B74" t="s">
        <v>429</v>
      </c>
      <c r="C74" s="26"/>
      <c r="D74" s="26"/>
      <c r="E74" s="26"/>
      <c r="F74" s="26"/>
      <c r="G74" s="26"/>
      <c r="H74" s="105" t="s">
        <v>490</v>
      </c>
      <c r="I74" s="26"/>
      <c r="J74" s="26"/>
      <c r="M74" t="s">
        <v>491</v>
      </c>
      <c r="N74" s="96"/>
      <c r="O74" s="67">
        <v>235</v>
      </c>
      <c r="P74" s="96"/>
      <c r="Q74" s="5">
        <v>250</v>
      </c>
      <c r="R74" s="9"/>
      <c r="S74" s="36"/>
      <c r="T74" s="111" t="s">
        <v>489</v>
      </c>
    </row>
    <row r="75" spans="1:20">
      <c r="B75" t="s">
        <v>429</v>
      </c>
      <c r="H75" s="36" t="s">
        <v>490</v>
      </c>
      <c r="M75" t="s">
        <v>492</v>
      </c>
      <c r="O75" s="5">
        <v>235</v>
      </c>
      <c r="Q75" s="5">
        <v>250</v>
      </c>
      <c r="T75" s="111" t="s">
        <v>489</v>
      </c>
    </row>
    <row r="76" spans="1:20">
      <c r="B76" s="28"/>
      <c r="C76" s="28"/>
      <c r="D76" s="28"/>
      <c r="E76" s="52"/>
      <c r="F76" s="28"/>
      <c r="G76" s="52"/>
      <c r="H76" s="73"/>
      <c r="I76" s="22"/>
      <c r="J76" s="22"/>
      <c r="K76" s="73"/>
      <c r="L76" s="22"/>
      <c r="M76" s="73"/>
    </row>
    <row r="77" spans="1:20">
      <c r="B77" s="83"/>
      <c r="C77" s="83"/>
      <c r="D77" s="83"/>
      <c r="E77" s="84"/>
      <c r="F77" s="83"/>
      <c r="G77" s="84"/>
      <c r="H77" s="85"/>
      <c r="I77" s="20"/>
      <c r="J77" s="20"/>
      <c r="K77" s="85"/>
      <c r="L77" s="20"/>
      <c r="M77" s="85"/>
      <c r="N77" s="50"/>
      <c r="O77" s="50"/>
      <c r="P77" s="50"/>
      <c r="Q77" s="50"/>
      <c r="R77" s="51">
        <f>SUM(R63:R76)</f>
        <v>10132775</v>
      </c>
      <c r="S77" s="50"/>
      <c r="T77" s="50"/>
    </row>
    <row r="78" spans="1:20">
      <c r="B78" s="28"/>
      <c r="C78" s="28"/>
      <c r="D78" s="28"/>
      <c r="E78" s="52"/>
      <c r="F78" s="28"/>
      <c r="G78" s="52"/>
      <c r="H78" s="73"/>
      <c r="I78" s="22"/>
      <c r="J78" s="22"/>
      <c r="K78" s="73"/>
      <c r="L78" s="22"/>
      <c r="M78" s="73"/>
    </row>
    <row r="79" spans="1:20">
      <c r="B79" s="28"/>
      <c r="C79" s="28"/>
      <c r="D79" s="28"/>
      <c r="E79" s="52"/>
      <c r="F79" s="28"/>
      <c r="G79" s="52"/>
      <c r="H79" s="73"/>
      <c r="I79" s="22"/>
      <c r="J79" s="22"/>
      <c r="K79" s="73"/>
      <c r="L79" s="22"/>
      <c r="M79" s="73"/>
    </row>
    <row r="80" spans="1:20">
      <c r="B80" s="26" t="s">
        <v>300</v>
      </c>
      <c r="C80" s="26" t="s">
        <v>301</v>
      </c>
      <c r="D80" s="26" t="s">
        <v>302</v>
      </c>
      <c r="E80" s="26" t="s">
        <v>21</v>
      </c>
      <c r="F80" s="26" t="s">
        <v>303</v>
      </c>
      <c r="G80" s="26" t="s">
        <v>303</v>
      </c>
      <c r="H80" s="26" t="s">
        <v>304</v>
      </c>
      <c r="I80" s="26" t="s">
        <v>23</v>
      </c>
      <c r="J80" s="26" t="s">
        <v>303</v>
      </c>
      <c r="K80" s="26"/>
      <c r="L80" s="26" t="s">
        <v>305</v>
      </c>
      <c r="M80" s="26" t="s">
        <v>462</v>
      </c>
      <c r="N80" s="26" t="s">
        <v>303</v>
      </c>
      <c r="O80" s="5">
        <v>120</v>
      </c>
      <c r="P80" s="26"/>
      <c r="Q80">
        <v>2550</v>
      </c>
      <c r="R80" s="9">
        <f>O80*Q80</f>
        <v>306000</v>
      </c>
      <c r="S80" s="36" t="s">
        <v>311</v>
      </c>
      <c r="T80" s="111" t="s">
        <v>367</v>
      </c>
    </row>
    <row r="81" spans="2:25">
      <c r="O81" s="33"/>
      <c r="R81" s="9"/>
    </row>
    <row r="82" spans="2:25">
      <c r="B82" s="31" t="s">
        <v>300</v>
      </c>
      <c r="C82" s="31" t="s">
        <v>301</v>
      </c>
      <c r="D82" s="31" t="s">
        <v>302</v>
      </c>
      <c r="E82" s="31" t="s">
        <v>21</v>
      </c>
      <c r="F82" s="31"/>
      <c r="G82" s="31"/>
      <c r="H82" s="31" t="s">
        <v>464</v>
      </c>
      <c r="I82" s="31" t="s">
        <v>23</v>
      </c>
      <c r="J82" s="31" t="s">
        <v>24</v>
      </c>
      <c r="K82" s="31"/>
      <c r="L82" s="31">
        <v>400026</v>
      </c>
      <c r="M82" s="31" t="s">
        <v>465</v>
      </c>
      <c r="N82" s="31"/>
      <c r="O82" s="33">
        <v>1800</v>
      </c>
      <c r="P82" s="33" t="s">
        <v>317</v>
      </c>
      <c r="Q82">
        <v>330</v>
      </c>
      <c r="R82" s="9">
        <f t="shared" ref="R82:R99" si="6">O82*Q82</f>
        <v>594000</v>
      </c>
      <c r="S82" s="36" t="s">
        <v>311</v>
      </c>
      <c r="T82" s="111" t="s">
        <v>363</v>
      </c>
    </row>
    <row r="83" spans="2:25">
      <c r="B83" s="31" t="s">
        <v>300</v>
      </c>
      <c r="C83" s="31" t="s">
        <v>301</v>
      </c>
      <c r="D83" s="31" t="s">
        <v>302</v>
      </c>
      <c r="E83" s="31" t="s">
        <v>21</v>
      </c>
      <c r="F83" s="31"/>
      <c r="G83" s="31"/>
      <c r="H83" s="31" t="s">
        <v>385</v>
      </c>
      <c r="I83" s="31" t="s">
        <v>23</v>
      </c>
      <c r="J83" s="31" t="s">
        <v>24</v>
      </c>
      <c r="K83" s="31"/>
      <c r="L83" s="31">
        <v>400026</v>
      </c>
      <c r="M83" s="31" t="s">
        <v>466</v>
      </c>
      <c r="N83" s="31"/>
      <c r="O83" s="33">
        <v>880</v>
      </c>
      <c r="P83" s="33" t="s">
        <v>317</v>
      </c>
      <c r="Q83">
        <v>330</v>
      </c>
      <c r="R83" s="9">
        <f t="shared" si="6"/>
        <v>290400</v>
      </c>
      <c r="S83" s="36" t="s">
        <v>311</v>
      </c>
      <c r="T83" s="111" t="s">
        <v>363</v>
      </c>
    </row>
    <row r="84" spans="2:25">
      <c r="O84" s="33"/>
      <c r="R84" s="9"/>
    </row>
    <row r="85" spans="2:25" s="30" customFormat="1">
      <c r="B85" s="31" t="s">
        <v>300</v>
      </c>
      <c r="C85" s="31" t="s">
        <v>375</v>
      </c>
      <c r="D85" s="31" t="s">
        <v>376</v>
      </c>
      <c r="E85" s="31" t="s">
        <v>301</v>
      </c>
      <c r="F85" s="31"/>
      <c r="G85" s="31" t="s">
        <v>376</v>
      </c>
      <c r="H85" s="31" t="s">
        <v>377</v>
      </c>
      <c r="I85" s="31" t="s">
        <v>378</v>
      </c>
      <c r="J85" s="31" t="s">
        <v>21</v>
      </c>
      <c r="K85" s="31"/>
      <c r="L85" s="31">
        <v>999999</v>
      </c>
      <c r="M85" s="118" t="s">
        <v>463</v>
      </c>
      <c r="N85" s="31"/>
      <c r="O85" s="119">
        <v>900</v>
      </c>
      <c r="P85" s="74"/>
      <c r="Q85" s="95">
        <v>726</v>
      </c>
      <c r="R85" s="9">
        <f t="shared" si="6"/>
        <v>653400</v>
      </c>
      <c r="S85" s="31" t="s">
        <v>47</v>
      </c>
      <c r="T85" s="113" t="s">
        <v>373</v>
      </c>
      <c r="U85" s="31" t="s">
        <v>303</v>
      </c>
      <c r="W85" s="31" t="s">
        <v>303</v>
      </c>
      <c r="X85" s="31" t="s">
        <v>312</v>
      </c>
      <c r="Y85" s="31"/>
    </row>
    <row r="86" spans="2:25">
      <c r="B86" s="28" t="s">
        <v>397</v>
      </c>
      <c r="G86" t="s">
        <v>471</v>
      </c>
      <c r="J86" s="28"/>
      <c r="K86" s="28"/>
      <c r="L86" s="28"/>
      <c r="M86" s="58" t="s">
        <v>468</v>
      </c>
      <c r="N86" s="28"/>
      <c r="O86" s="59">
        <v>120</v>
      </c>
      <c r="Q86" s="95">
        <v>726</v>
      </c>
      <c r="R86" s="9">
        <f t="shared" si="6"/>
        <v>87120</v>
      </c>
      <c r="S86" s="36" t="s">
        <v>311</v>
      </c>
      <c r="T86" s="113" t="s">
        <v>373</v>
      </c>
    </row>
    <row r="87" spans="2:25">
      <c r="B87" s="28" t="s">
        <v>397</v>
      </c>
      <c r="D87" t="s">
        <v>472</v>
      </c>
      <c r="G87" t="s">
        <v>473</v>
      </c>
      <c r="J87" s="28"/>
      <c r="K87" s="28"/>
      <c r="L87" s="28"/>
      <c r="M87" s="58" t="s">
        <v>469</v>
      </c>
      <c r="N87" s="28"/>
      <c r="O87" s="59">
        <v>1530</v>
      </c>
      <c r="Q87" s="95">
        <v>726</v>
      </c>
      <c r="R87" s="9">
        <f t="shared" si="6"/>
        <v>1110780</v>
      </c>
      <c r="S87" s="36" t="s">
        <v>311</v>
      </c>
      <c r="T87" s="113" t="s">
        <v>373</v>
      </c>
    </row>
    <row r="88" spans="2:25">
      <c r="R88" s="9"/>
    </row>
    <row r="89" spans="2:25" s="30" customFormat="1">
      <c r="B89" s="31" t="s">
        <v>300</v>
      </c>
      <c r="C89" s="22" t="s">
        <v>301</v>
      </c>
      <c r="D89" s="22" t="s">
        <v>302</v>
      </c>
      <c r="E89" s="31" t="s">
        <v>302</v>
      </c>
      <c r="F89" s="22" t="s">
        <v>301</v>
      </c>
      <c r="G89" s="22"/>
      <c r="H89" s="31" t="s">
        <v>474</v>
      </c>
      <c r="I89" s="31" t="s">
        <v>23</v>
      </c>
      <c r="J89" s="31" t="s">
        <v>24</v>
      </c>
      <c r="K89" s="31"/>
      <c r="L89" s="31">
        <v>400026</v>
      </c>
      <c r="M89" s="31" t="s">
        <v>475</v>
      </c>
      <c r="N89" s="31">
        <v>3930</v>
      </c>
      <c r="O89" s="33">
        <v>39300</v>
      </c>
      <c r="P89" s="74"/>
      <c r="Q89" s="95">
        <v>129</v>
      </c>
      <c r="R89" s="9">
        <f t="shared" si="6"/>
        <v>5069700</v>
      </c>
      <c r="S89" s="36" t="s">
        <v>311</v>
      </c>
      <c r="T89" s="114" t="s">
        <v>318</v>
      </c>
    </row>
    <row r="90" spans="2:25">
      <c r="J90" s="28"/>
      <c r="K90" s="28"/>
      <c r="L90" s="28"/>
      <c r="M90" s="28"/>
      <c r="N90" s="91"/>
      <c r="O90" s="91"/>
      <c r="R90" s="9"/>
    </row>
    <row r="91" spans="2:25">
      <c r="B91" t="s">
        <v>444</v>
      </c>
      <c r="H91" t="s">
        <v>445</v>
      </c>
      <c r="I91" t="s">
        <v>446</v>
      </c>
      <c r="J91" t="s">
        <v>447</v>
      </c>
      <c r="M91" t="s">
        <v>476</v>
      </c>
      <c r="O91">
        <v>1600</v>
      </c>
      <c r="P91" s="33" t="s">
        <v>329</v>
      </c>
      <c r="Q91">
        <v>347</v>
      </c>
      <c r="R91" s="9">
        <f t="shared" si="6"/>
        <v>555200</v>
      </c>
      <c r="S91" s="86" t="s">
        <v>312</v>
      </c>
      <c r="T91" s="111" t="s">
        <v>405</v>
      </c>
    </row>
    <row r="92" spans="2:25">
      <c r="R92" s="9"/>
    </row>
    <row r="93" spans="2:25">
      <c r="B93" s="73" t="s">
        <v>397</v>
      </c>
      <c r="H93" t="s">
        <v>477</v>
      </c>
      <c r="M93" s="73">
        <v>15721</v>
      </c>
      <c r="O93" s="73">
        <v>6486</v>
      </c>
      <c r="Q93">
        <v>906</v>
      </c>
      <c r="R93" s="9">
        <f t="shared" si="6"/>
        <v>5876316</v>
      </c>
      <c r="S93" t="s">
        <v>312</v>
      </c>
      <c r="T93" s="111" t="s">
        <v>409</v>
      </c>
    </row>
    <row r="94" spans="2:25">
      <c r="R94" s="9"/>
    </row>
    <row r="95" spans="2:25">
      <c r="B95" t="s">
        <v>397</v>
      </c>
      <c r="E95" t="s">
        <v>472</v>
      </c>
      <c r="H95" t="s">
        <v>494</v>
      </c>
      <c r="M95" t="s">
        <v>493</v>
      </c>
      <c r="O95">
        <v>7440</v>
      </c>
      <c r="Q95">
        <v>1229</v>
      </c>
      <c r="R95" s="9">
        <f t="shared" si="6"/>
        <v>9143760</v>
      </c>
      <c r="S95" s="36" t="s">
        <v>311</v>
      </c>
      <c r="T95" s="111" t="s">
        <v>495</v>
      </c>
    </row>
    <row r="96" spans="2:25">
      <c r="R96" s="9"/>
      <c r="S96" s="36"/>
      <c r="T96" s="111"/>
    </row>
    <row r="97" spans="2:20">
      <c r="B97" t="s">
        <v>397</v>
      </c>
      <c r="E97" t="s">
        <v>472</v>
      </c>
      <c r="H97" t="s">
        <v>494</v>
      </c>
      <c r="M97" t="s">
        <v>493</v>
      </c>
      <c r="O97">
        <v>7440</v>
      </c>
      <c r="Q97">
        <v>1229</v>
      </c>
      <c r="R97" s="9">
        <f t="shared" ref="R97" si="7">O97*Q97</f>
        <v>9143760</v>
      </c>
      <c r="S97" s="36"/>
      <c r="T97" s="111"/>
    </row>
    <row r="98" spans="2:20">
      <c r="R98" s="9"/>
    </row>
    <row r="99" spans="2:20">
      <c r="B99" t="s">
        <v>499</v>
      </c>
      <c r="D99" t="s">
        <v>500</v>
      </c>
      <c r="H99" t="s">
        <v>501</v>
      </c>
      <c r="M99" t="s">
        <v>502</v>
      </c>
      <c r="O99">
        <v>1600</v>
      </c>
      <c r="Q99">
        <v>30</v>
      </c>
      <c r="R99" s="9">
        <f t="shared" si="6"/>
        <v>48000</v>
      </c>
      <c r="S99" s="36" t="s">
        <v>311</v>
      </c>
      <c r="T99" s="111" t="s">
        <v>503</v>
      </c>
    </row>
    <row r="102" spans="2:20">
      <c r="B102" t="s">
        <v>397</v>
      </c>
      <c r="E102" t="s">
        <v>472</v>
      </c>
      <c r="H102" s="36" t="s">
        <v>496</v>
      </c>
      <c r="M102" s="36" t="s">
        <v>470</v>
      </c>
      <c r="N102" s="36" t="s">
        <v>497</v>
      </c>
      <c r="O102">
        <v>7440</v>
      </c>
      <c r="Q102">
        <v>1229</v>
      </c>
      <c r="R102" s="9">
        <f>O102*Q102</f>
        <v>9143760</v>
      </c>
      <c r="S102" s="36" t="s">
        <v>311</v>
      </c>
      <c r="T102" s="111" t="s">
        <v>495</v>
      </c>
    </row>
    <row r="103" spans="2:20">
      <c r="M103" s="36" t="s">
        <v>467</v>
      </c>
    </row>
    <row r="104" spans="2:20">
      <c r="B104" s="50"/>
      <c r="C104" s="50"/>
      <c r="D104" s="50"/>
      <c r="E104" s="50"/>
      <c r="F104" s="50"/>
      <c r="G104" s="50"/>
      <c r="H104" s="50"/>
      <c r="I104" s="50"/>
      <c r="J104" s="50"/>
      <c r="K104" s="50"/>
      <c r="L104" s="50"/>
      <c r="M104" s="50"/>
      <c r="N104" s="50"/>
      <c r="O104" s="50"/>
      <c r="P104" s="50"/>
      <c r="Q104" s="50"/>
      <c r="R104" s="51">
        <f>SUM(R80:R103)</f>
        <v>42022196</v>
      </c>
      <c r="S104" s="50"/>
      <c r="T104" s="50"/>
    </row>
  </sheetData>
  <dataValidations count="36">
    <dataValidation type="textLength" allowBlank="1" showInputMessage="1" showErrorMessage="1" errorTitle="Input Error" error="Please enter the Date of Event in the required format" sqref="WVQ3 WLU3 WBY3 VSC3 VIG3 UYK3 UOO3 UES3 TUW3 TLA3 TBE3 SRI3 SHM3 RXQ3 RNU3 RDY3 QUC3 QKG3 QAK3 PQO3 PGS3 OWW3 ONA3 ODE3 NTI3 NJM3 MZQ3 MPU3 MFY3 LWC3 LMG3 LCK3 KSO3 KIS3 JYW3 JPA3 JFE3 IVI3 ILM3 IBQ3 HRU3 HHY3 GYC3 GOG3 GEK3 FUO3 FKS3 FAW3 ERA3 EHE3 DXI3 DNM3 DDQ3 CTU3 CJY3 CAC3 BQG3 BGK3 AWO3 AMS3 ACW3 TA3 JE3 P3 Q63:Q64 Q38:Q49 JK38:JK49 TG38:TG49 ADC38:ADC49 AMY38:AMY49 AWU38:AWU49 BGQ38:BGQ49 BQM38:BQM49 CAI38:CAI49 CKE38:CKE49 CUA38:CUA49 DDW38:DDW49 DNS38:DNS49 DXO38:DXO49 EHK38:EHK49 ERG38:ERG49 FBC38:FBC49 FKY38:FKY49 FUU38:FUU49 GEQ38:GEQ49 GOM38:GOM49 GYI38:GYI49 HIE38:HIE49 HSA38:HSA49 IBW38:IBW49 ILS38:ILS49 IVO38:IVO49 JFK38:JFK49 JPG38:JPG49 JZC38:JZC49 KIY38:KIY49 KSU38:KSU49 LCQ38:LCQ49 LMM38:LMM49 LWI38:LWI49 MGE38:MGE49 MQA38:MQA49 MZW38:MZW49 NJS38:NJS49 NTO38:NTO49 ODK38:ODK49 ONG38:ONG49 OXC38:OXC49 PGY38:PGY49 PQU38:PQU49 QAQ38:QAQ49 QKM38:QKM49 QUI38:QUI49 REE38:REE49 ROA38:ROA49 RXW38:RXW49 SHS38:SHS49 SRO38:SRO49 TBK38:TBK49 TLG38:TLG49 TVC38:TVC49 UEY38:UEY49 UOU38:UOU49 UYQ38:UYQ49 VIM38:VIM49 VSI38:VSI49 WCE38:WCE49 WMA38:WMA49 WVW38:WVW49" xr:uid="{00000000-0002-0000-0400-000000000000}">
      <formula1>1</formula1>
      <formula2>11</formula2>
    </dataValidation>
    <dataValidation type="decimal" allowBlank="1" showInputMessage="1" showErrorMessage="1" errorTitle="Input Error" error="Please enter the proper Nominal Value of Shares ranging from 0.01 to 9999999999999.99 " sqref="WVP3 WLT3 WBX3 VSB3 VIF3 UYJ3 UON3 UER3 TUV3 TKZ3 TBD3 SRH3 SHL3 RXP3 RNT3 RDX3 QUB3 QKF3 QAJ3 PQN3 PGR3 OWV3 OMZ3 ODD3 NTH3 NJL3 MZP3 MPT3 MFX3 LWB3 LMF3 LCJ3 KSN3 KIR3 JYV3 JOZ3 JFD3 IVH3 ILL3 IBP3 HRT3 HHX3 GYB3 GOF3 GEJ3 FUN3 FKR3 FAV3 EQZ3 EHD3 DXH3 DNL3 DDP3 CTT3 CJX3 CAB3 BQF3 BGJ3 AWN3 AMR3 ACV3 SZ3 JD3 JJ38:JJ49 TF38:TF49 ADB38:ADB49 AMX38:AMX49 AWT38:AWT49 BGP38:BGP49 BQL38:BQL49 CAH38:CAH49 CKD38:CKD49 CTZ38:CTZ49 DDV38:DDV49 DNR38:DNR49 DXN38:DXN49 EHJ38:EHJ49 ERF38:ERF49 FBB38:FBB49 FKX38:FKX49 FUT38:FUT49 GEP38:GEP49 GOL38:GOL49 GYH38:GYH49 HID38:HID49 HRZ38:HRZ49 IBV38:IBV49 ILR38:ILR49 IVN38:IVN49 JFJ38:JFJ49 JPF38:JPF49 JZB38:JZB49 KIX38:KIX49 KST38:KST49 LCP38:LCP49 LML38:LML49 LWH38:LWH49 MGD38:MGD49 MPZ38:MPZ49 MZV38:MZV49 NJR38:NJR49 NTN38:NTN49 ODJ38:ODJ49 ONF38:ONF49 OXB38:OXB49 PGX38:PGX49 PQT38:PQT49 QAP38:QAP49 QKL38:QKL49 QUH38:QUH49 RED38:RED49 RNZ38:RNZ49 RXV38:RXV49 SHR38:SHR49 SRN38:SRN49 TBJ38:TBJ49 TLF38:TLF49 TVB38:TVB49 UEX38:UEX49 UOT38:UOT49 UYP38:UYP49 VIL38:VIL49 VSH38:VSH49 WCD38:WCD49 WLZ38:WLZ49 P42:P49 WVV38:WVV49" xr:uid="{00000000-0002-0000-0400-000001000000}">
      <formula1>0.01</formula1>
      <formula2>9999999999999.99</formula2>
    </dataValidation>
    <dataValidation type="whole" allowBlank="1" showInputMessage="1" showErrorMessage="1" errorTitle="Input Error" error="Please enter valid Number of Shares. Values can range from (1-999999999999999)" sqref="WVO3 WLS3 WBW3 VSA3 VIE3 UYI3 UOM3 UEQ3 TUU3 TKY3 TBC3 SRG3 SHK3 RXO3 RNS3 RDW3 QUA3 QKE3 QAI3 PQM3 PGQ3 OWU3 OMY3 ODC3 NTG3 NJK3 MZO3 MPS3 MFW3 LWA3 LME3 LCI3 KSM3 KIQ3 JYU3 JOY3 JFC3 IVG3 ILK3 IBO3 HRS3 HHW3 GYA3 GOE3 GEI3 FUM3 FKQ3 FAU3 EQY3 EHC3 DXG3 DNK3 DDO3 CTS3 CJW3 CAA3 BQE3 BGI3 AWM3 AMQ3 ACU3 SY3 JC3 O3 O38 Q63:Q64 O42 Q49 O48 JI38:JI49 TE38:TE49 ADA38:ADA49 AMW38:AMW49 AWS38:AWS49 BGO38:BGO49 BQK38:BQK49 CAG38:CAG49 CKC38:CKC49 CTY38:CTY49 DDU38:DDU49 DNQ38:DNQ49 DXM38:DXM49 EHI38:EHI49 ERE38:ERE49 FBA38:FBA49 FKW38:FKW49 FUS38:FUS49 GEO38:GEO49 GOK38:GOK49 GYG38:GYG49 HIC38:HIC49 HRY38:HRY49 IBU38:IBU49 ILQ38:ILQ49 IVM38:IVM49 JFI38:JFI49 JPE38:JPE49 JZA38:JZA49 KIW38:KIW49 KSS38:KSS49 LCO38:LCO49 LMK38:LMK49 LWG38:LWG49 MGC38:MGC49 MPY38:MPY49 MZU38:MZU49 NJQ38:NJQ49 NTM38:NTM49 ODI38:ODI49 ONE38:ONE49 OXA38:OXA49 PGW38:PGW49 PQS38:PQS49 QAO38:QAO49 QKK38:QKK49 QUG38:QUG49 REC38:REC49 RNY38:RNY49 RXU38:RXU49 SHQ38:SHQ49 SRM38:SRM49 TBI38:TBI49 TLE38:TLE49 TVA38:TVA49 UEW38:UEW49 UOS38:UOS49 UYO38:UYO49 VIK38:VIK49 VSG38:VSG49 WCC38:WCC49 WLY38:WLY49 WVU38:WVU49" xr:uid="{00000000-0002-0000-0400-000002000000}">
      <formula1>1</formula1>
      <formula2>999999999999999</formula2>
    </dataValidation>
    <dataValidation type="textLength" operator="lessThanOrEqual" allowBlank="1" showInputMessage="1" showErrorMessage="1" errorTitle="Input Error" error="DP Id-Client Id-Account Number should be alphanumeric and of length less than or equal to 60 characters." sqref="WVN3 WLR3 WBV3 VRZ3 VID3 UYH3 UOL3 UEP3 TUT3 TKX3 TBB3 SRF3 SHJ3 RXN3 RNR3 RDV3 QTZ3 QKD3 QAH3 PQL3 PGP3 OWT3 OMX3 ODB3 NTF3 NJJ3 MZN3 MPR3 MFV3 LVZ3 LMD3 LCH3 KSL3 KIP3 JYT3 JOX3 JFB3 IVF3 ILJ3 IBN3 HRR3 HHV3 GXZ3 GOD3 GEH3 FUL3 FKP3 FAT3 EQX3 EHB3 DXF3 DNJ3 DDN3 CTR3 CJV3 BZZ3 BQD3 BGH3 AWL3 AMP3 ACT3 SX3 JB3 N3 N85 JJ85 TF85 ADB85 AMX85 AWT85 BGP85 BQL85 CAH85 CKD85 CTZ85 DDV85 DNR85 DXN85 EHJ85 ERF85 FBB85 FKX85 FUT85 GEP85 GOL85 GYH85 HID85 HRZ85 IBV85 ILR85 IVN85 JFJ85 JPF85 JZB85 KIX85 KST85 LCP85 LML85 LWH85 MGD85 MPZ85 MZV85 NJR85 NTN85 ODJ85 ONF85 OXB85 PGX85 PQT85 QAP85 QKL85 QUH85 RED85 RNZ85 RXV85 SHR85 SRN85 TBJ85 TLF85 TVB85 UEX85 UOT85 UYP85 VIL85 VSH85 WCD85 WLZ85 WVV85 N38 WVR63 N42 N48:N49 O49 N63 JF63 TB63 ACX63 AMT63 AWP63 BGL63 BQH63 CAD63 CJZ63 CTV63 DDR63 DNN63 DXJ63 EHF63 ERB63 FAX63 FKT63 FUP63 GEL63 GOH63 GYD63 HHZ63 HRV63 IBR63 ILN63 IVJ63 JFF63 JPB63 JYX63 KIT63 KSP63 LCL63 LMH63 LWD63 MFZ63 MPV63 MZR63 NJN63 NTJ63 ODF63 ONB63 OWX63 PGT63 PQP63 QAL63 QKH63 QUD63 RDZ63 RNV63 RXR63 SHN63 SRJ63 TBF63 TLB63 TUX63 UET63 UOP63 UYL63 VIH63 VSD63 WBZ63 WLV63 JH38:JH49 TD38:TD49 ACZ38:ACZ49 AMV38:AMV49 AWR38:AWR49 BGN38:BGN49 BQJ38:BQJ49 CAF38:CAF49 CKB38:CKB49 CTX38:CTX49 DDT38:DDT49 DNP38:DNP49 DXL38:DXL49 EHH38:EHH49 ERD38:ERD49 FAZ38:FAZ49 FKV38:FKV49 FUR38:FUR49 GEN38:GEN49 GOJ38:GOJ49 GYF38:GYF49 HIB38:HIB49 HRX38:HRX49 IBT38:IBT49 ILP38:ILP49 IVL38:IVL49 JFH38:JFH49 JPD38:JPD49 JYZ38:JYZ49 KIV38:KIV49 KSR38:KSR49 LCN38:LCN49 LMJ38:LMJ49 LWF38:LWF49 MGB38:MGB49 MPX38:MPX49 MZT38:MZT49 NJP38:NJP49 NTL38:NTL49 ODH38:ODH49 OND38:OND49 OWZ38:OWZ49 PGV38:PGV49 PQR38:PQR49 QAN38:QAN49 QKJ38:QKJ49 QUF38:QUF49 REB38:REB49 RNX38:RNX49 RXT38:RXT49 SHP38:SHP49 SRL38:SRL49 TBH38:TBH49 TLD38:TLD49 TUZ38:TUZ49 UEV38:UEV49 UOR38:UOR49 UYN38:UYN49 VIJ38:VIJ49 VSF38:VSF49 WCB38:WCB49 WLX38:WLX49 WVT38:WVT49" xr:uid="{00000000-0002-0000-0400-000003000000}">
      <formula1>60</formula1>
    </dataValidation>
    <dataValidation type="textLength" allowBlank="1" showInputMessage="1" showErrorMessage="1" errorTitle="Inout Error" error="Please enter a valid Pin Code" sqref="WVL3 WLP3 WBT3 VRX3 VIB3 UYF3 UOJ3 UEN3 TUR3 TKV3 TAZ3 SRD3 SHH3 RXL3 RNP3 RDT3 QTX3 QKB3 QAF3 PQJ3 PGN3 OWR3 OMV3 OCZ3 NTD3 NJH3 MZL3 MPP3 MFT3 LVX3 LMB3 LCF3 KSJ3 KIN3 JYR3 JOV3 JEZ3 IVD3 ILH3 IBL3 HRP3 HHT3 GXX3 GOB3 GEF3 FUJ3 FKN3 FAR3 EQV3 EGZ3 DXD3 DNH3 DDL3 CTP3 CJT3 BZX3 BQB3 BGF3 AWJ3 AMN3 ACR3 SV3 IZ3 L3 L38 L48:L49 L42 JF38:JF49 TB38:TB49 ACX38:ACX49 AMT38:AMT49 AWP38:AWP49 BGL38:BGL49 BQH38:BQH49 CAD38:CAD49 CJZ38:CJZ49 CTV38:CTV49 DDR38:DDR49 DNN38:DNN49 DXJ38:DXJ49 EHF38:EHF49 ERB38:ERB49 FAX38:FAX49 FKT38:FKT49 FUP38:FUP49 GEL38:GEL49 GOH38:GOH49 GYD38:GYD49 HHZ38:HHZ49 HRV38:HRV49 IBR38:IBR49 ILN38:ILN49 IVJ38:IVJ49 JFF38:JFF49 JPB38:JPB49 JYX38:JYX49 KIT38:KIT49 KSP38:KSP49 LCL38:LCL49 LMH38:LMH49 LWD38:LWD49 MFZ38:MFZ49 MPV38:MPV49 MZR38:MZR49 NJN38:NJN49 NTJ38:NTJ49 ODF38:ODF49 ONB38:ONB49 OWX38:OWX49 PGT38:PGT49 PQP38:PQP49 QAL38:QAL49 QKH38:QKH49 QUD38:QUD49 RDZ38:RDZ49 RNV38:RNV49 RXR38:RXR49 SHN38:SHN49 SRJ38:SRJ49 TBF38:TBF49 TLB38:TLB49 TUX38:TUX49 UET38:UET49 UOP38:UOP49 UYL38:UYL49 VIH38:VIH49 VSD38:VSD49 WBZ38:WBZ49 WLV38:WLV49 WVR38:WVR49" xr:uid="{00000000-0002-0000-0400-000004000000}">
      <formula1>6</formula1>
      <formula2>12</formula2>
    </dataValidation>
    <dataValidation type="list" allowBlank="1" showInputMessage="1" showErrorMessage="1" errorTitle="Invalid Input" error="Please select a valid District from the drop-down list" sqref="K3 IY3 SU3 ACQ3 AMM3 AWI3 BGE3 BQA3 BZW3 CJS3 CTO3 DDK3 DNG3 DXC3 EGY3 EQU3 FAQ3 FKM3 FUI3 GEE3 GOA3 GXW3 HHS3 HRO3 IBK3 ILG3 IVC3 JEY3 JOU3 JYQ3 KIM3 KSI3 LCE3 LMA3 LVW3 MFS3 MPO3 MZK3 NJG3 NTC3 OCY3 OMU3 OWQ3 PGM3 PQI3 QAE3 QKA3 QTW3 RDS3 RNO3 RXK3 SHG3 SRC3 TAY3 TKU3 TUQ3 UEM3 UOI3 UYE3 VIA3 VRW3 WBS3 WLO3 WVK3 JG85 TC85 ACY85 AMU85 AWQ85 BGM85 BQI85 CAE85 CKA85 CTW85 DDS85 DNO85 DXK85 EHG85 ERC85 FAY85 FKU85 FUQ85 GEM85 GOI85 GYE85 HIA85 HRW85 IBS85 ILO85 IVK85 JFG85 JPC85 JYY85 KIU85 KSQ85 LCM85 LMI85 LWE85 MGA85 MPW85 MZS85 NJO85 NTK85 ODG85 ONC85 OWY85 PGU85 PQQ85 QAM85 QKI85 QUE85 REA85 RNW85 RXS85 SHO85 SRK85 TBG85 TLC85 TUY85 UEU85 UOQ85 UYM85 VII85 VSE85 WCA85 WLW85 WVS85 K38 K85 JC63 SY63 ACU63 AMQ63 AWM63 BGI63 BQE63 CAA63 CJW63 CTS63 DDO63 DNK63 DXG63 EHC63 EQY63 FAU63 FKQ63 FUM63 GEI63 GOE63 GYA63 HHW63 HRS63 IBO63 ILK63 IVG63 JFC63 JOY63 JYU63 KIQ63 KSM63 LCI63 LME63 LWA63 MFW63 MPS63 MZO63 NJK63 NTG63 ODC63 OMY63 OWU63 PGQ63 PQM63 QAI63 QKE63 QUA63 RDW63 RNS63 RXO63 SHK63 SRG63 TBC63 TKY63 TUU63 UEQ63 UOM63 UYI63 VIE63 VSA63 WBW63 WLS63 WVO63 K63 K48:K49 K42 JE38:JE49 TA38:TA49 ACW38:ACW49 AMS38:AMS49 AWO38:AWO49 BGK38:BGK49 BQG38:BQG49 CAC38:CAC49 CJY38:CJY49 CTU38:CTU49 DDQ38:DDQ49 DNM38:DNM49 DXI38:DXI49 EHE38:EHE49 ERA38:ERA49 FAW38:FAW49 FKS38:FKS49 FUO38:FUO49 GEK38:GEK49 GOG38:GOG49 GYC38:GYC49 HHY38:HHY49 HRU38:HRU49 IBQ38:IBQ49 ILM38:ILM49 IVI38:IVI49 JFE38:JFE49 JPA38:JPA49 JYW38:JYW49 KIS38:KIS49 KSO38:KSO49 LCK38:LCK49 LMG38:LMG49 LWC38:LWC49 MFY38:MFY49 MPU38:MPU49 MZQ38:MZQ49 NJM38:NJM49 NTI38:NTI49 ODE38:ODE49 ONA38:ONA49 OWW38:OWW49 PGS38:PGS49 PQO38:PQO49 QAK38:QAK49 QKG38:QKG49 QUC38:QUC49 RDY38:RDY49 RNU38:RNU49 RXQ38:RXQ49 SHM38:SHM49 SRI38:SRI49 TBE38:TBE49 TLA38:TLA49 TUW38:TUW49 UES38:UES49 UOO38:UOO49 UYK38:UYK49 VIG38:VIG49 VSC38:VSC49 WBY38:WBY49 WLU38:WLU49 WVQ38:WVQ49" xr:uid="{00000000-0002-0000-0400-000005000000}">
      <formula1>INDIRECT(SUBSTITUTE(J3," ",""))</formula1>
    </dataValidation>
    <dataValidation type="textLength" allowBlank="1" showInputMessage="1" showErrorMessage="1" errorTitle="Input Errpr" error="You cannot enter Name more than 35 characters." sqref="WVB3:WVG3 WLF3:WLK3 WBJ3:WBO3 VRN3:VRS3 VHR3:VHW3 UXV3:UYA3 UNZ3:UOE3 UED3:UEI3 TUH3:TUM3 TKL3:TKQ3 TAP3:TAU3 SQT3:SQY3 SGX3:SHC3 RXB3:RXG3 RNF3:RNK3 RDJ3:RDO3 QTN3:QTS3 QJR3:QJW3 PZV3:QAA3 PPZ3:PQE3 PGD3:PGI3 OWH3:OWM3 OML3:OMQ3 OCP3:OCU3 NST3:NSY3 NIX3:NJC3 MZB3:MZG3 MPF3:MPK3 MFJ3:MFO3 LVN3:LVS3 LLR3:LLW3 LBV3:LCA3 KRZ3:KSE3 KID3:KII3 JYH3:JYM3 JOL3:JOQ3 JEP3:JEU3 IUT3:IUY3 IKX3:ILC3 IBB3:IBG3 HRF3:HRK3 HHJ3:HHO3 GXN3:GXS3 GNR3:GNW3 GDV3:GEA3 FTZ3:FUE3 FKD3:FKI3 FAH3:FAM3 EQL3:EQQ3 EGP3:EGU3 DWT3:DWY3 DMX3:DNC3 DDB3:DDG3 CTF3:CTK3 CJJ3:CJO3 BZN3:BZS3 BPR3:BPW3 BFV3:BGA3 AVZ3:AWE3 AMD3:AMI3 ACH3:ACM3 SL3:SQ3 IP3:IU3 B3:G3 B39:F41 B38:G38 B42:G45 C46:G49 B46:B48 IV38:JA49 SR38:SW49 ACN38:ACS49 AMJ38:AMO49 AWF38:AWK49 BGB38:BGG49 BPX38:BQC49 BZT38:BZY49 CJP38:CJU49 CTL38:CTQ49 DDH38:DDM49 DND38:DNI49 DWZ38:DXE49 EGV38:EHA49 EQR38:EQW49 FAN38:FAS49 FKJ38:FKO49 FUF38:FUK49 GEB38:GEG49 GNX38:GOC49 GXT38:GXY49 HHP38:HHU49 HRL38:HRQ49 IBH38:IBM49 ILD38:ILI49 IUZ38:IVE49 JEV38:JFA49 JOR38:JOW49 JYN38:JYS49 KIJ38:KIO49 KSF38:KSK49 LCB38:LCG49 LLX38:LMC49 LVT38:LVY49 MFP38:MFU49 MPL38:MPQ49 MZH38:MZM49 NJD38:NJI49 NSZ38:NTE49 OCV38:ODA49 OMR38:OMW49 OWN38:OWS49 PGJ38:PGO49 PQF38:PQK49 QAB38:QAG49 QJX38:QKC49 QTT38:QTY49 RDP38:RDU49 RNL38:RNQ49 RXH38:RXM49 SHD38:SHI49 SQZ38:SRE49 TAV38:TBA49 TKR38:TKW49 TUN38:TUS49 UEJ38:UEO49 UOF38:UOK49 UYB38:UYG49 VHX38:VIC49 VRT38:VRY49 WBP38:WBU49 WLL38:WLQ49 WVH38:WVM49" xr:uid="{00000000-0002-0000-0400-000006000000}">
      <formula1>1</formula1>
      <formula2>35</formula2>
    </dataValidation>
    <dataValidation type="textLength" allowBlank="1" showInputMessage="1" showErrorMessage="1" errorTitle="Input Error" error="Folio Number should be alphanumeric and less than or equal 20 characters." sqref="WVM3 WLQ3 WBU3 VRY3 VIC3 UYG3 UOK3 UEO3 TUS3 TKW3 TBA3 SRE3 SHI3 RXM3 RNQ3 RDU3 QTY3 QKC3 QAG3 PQK3 PGO3 OWS3 OMW3 ODA3 NTE3 NJI3 MZM3 MPQ3 MFU3 LVY3 LMC3 LCG3 KSK3 KIO3 JYS3 JOW3 JFA3 IVE3 ILI3 IBM3 HRQ3 HHU3 GXY3 GOC3 GEG3 FUK3 FKO3 FAS3 EQW3 EHA3 DXE3 DNI3 DDM3 CTQ3 CJU3 BZY3 BQC3 BGG3 AWK3 AMO3 ACS3 SW3 JA3 M3 M7 JD7 SZ7 ACV7 AMR7 AWN7 BGJ7 BQF7 CAB7 CJX7 CTT7 DDP7 DNL7 DXH7 EHD7 EQZ7 FAV7 FKR7 FUN7 GEJ7 GOF7 GYB7 HHX7 HRT7 IBP7 ILL7 IVH7 JFD7 JOZ7 JYV7 KIR7 KSN7 LCJ7 LMF7 LWB7 MFX7 MPT7 MZP7 NJL7 NTH7 ODD7 OMZ7 OWV7 PGR7 PQN7 QAJ7 QKF7 QUB7 RDX7 RNT7 RXP7 SHL7 SRH7 TBD7 TKZ7 TUV7 UER7 UON7 UYJ7 VIF7 VSB7 WBX7 WLT7 WVP7 JI33 TE33 ADA33 AMW33 AWS33 BGO33 BQK33 CAG33 CKC33 CTY33 DDU33 DNQ33 DXM33 EHI33 ERE33 FBA33 FKW33 FUS33 GEO33 GOK33 GYG33 HIC33 HRY33 IBU33 ILQ33 IVM33 JFI33 JPE33 JZA33 KIW33 KSS33 LCO33 LMK33 LWG33 MGC33 MPY33 MZU33 NJQ33 NTM33 ODI33 ONE33 OXA33 PGW33 PQS33 QAO33 QKK33 QUG33 REC33 RNY33 RXU33 SHQ33 SRM33 TBI33 TLE33 TVA33 UEW33 UOS33 UYO33 VIK33 VSG33 WCC33 WLY33 WVU33 M33 M85 JI85 TE85 ADA85 AMW85 AWS85 BGO85 BQK85 CAG85 CKC85 CTY85 DDU85 DNQ85 DXM85 EHI85 ERE85 FBA85 FKW85 FUS85 GEO85 GOK85 GYG85 HIC85 HRY85 IBU85 ILQ85 IVM85 JFI85 JPE85 JZA85 KIW85 KSS85 LCO85 LMK85 LWG85 MGC85 MPY85 MZU85 NJQ85 NTM85 ODI85 ONE85 OXA85 PGW85 PQS85 QAO85 QKK85 QUG85 REC85 RNY85 RXU85 SHQ85 SRM85 TBI85 TLE85 TVA85 UEW85 UOS85 UYO85 VIK85 VSG85 WCC85 WLY85 WVU85 M38 WVU69 M42 M48:M49 WVQ63:WVQ64 JE63:JE64 TA63:TA64 ACW63:ACW64 AMS63:AMS64 AWO63:AWO64 BGK63:BGK64 BQG63:BQG64 CAC63:CAC64 CJY63:CJY64 CTU63:CTU64 DDQ63:DDQ64 DNM63:DNM64 DXI63:DXI64 EHE63:EHE64 ERA63:ERA64 FAW63:FAW64 FKS63:FKS64 FUO63:FUO64 GEK63:GEK64 GOG63:GOG64 GYC63:GYC64 HHY63:HHY64 HRU63:HRU64 IBQ63:IBQ64 ILM63:ILM64 IVI63:IVI64 JFE63:JFE64 JPA63:JPA64 JYW63:JYW64 KIS63:KIS64 KSO63:KSO64 LCK63:LCK64 LMG63:LMG64 LWC63:LWC64 MFY63:MFY64 MPU63:MPU64 MZQ63:MZQ64 NJM63:NJM64 NTI63:NTI64 ODE63:ODE64 ONA63:ONA64 OWW63:OWW64 PGS63:PGS64 PQO63:PQO64 QAK63:QAK64 QKG63:QKG64 QUC63:QUC64 RDY63:RDY64 RNU63:RNU64 RXQ63:RXQ64 SHM63:SHM64 SRI63:SRI64 TBE63:TBE64 TLA63:TLA64 TUW63:TUW64 UES63:UES64 UOO63:UOO64 UYK63:UYK64 VIG63:VIG64 VSC63:VSC64 WBY63:WBY64 WLU63:WLU64 M82:M83 M89 JI89 TE89 ADA89 AMW89 AWS89 BGO89 BQK89 CAG89 CKC89 CTY89 DDU89 DNQ89 DXM89 EHI89 ERE89 FBA89 FKW89 FUS89 GEO89 GOK89 GYG89 HIC89 HRY89 IBU89 ILQ89 IVM89 JFI89 JPE89 JZA89 KIW89 KSS89 LCO89 LMK89 LWG89 MGC89 MPY89 MZU89 NJQ89 NTM89 ODI89 ONE89 OXA89 PGW89 PQS89 QAO89 QKK89 QUG89 REC89 RNY89 RXU89 SHQ89 SRM89 TBI89 TLE89 TVA89 UEW89 UOS89 UYO89 VIK89 VSG89 WCC89 WLY89 WVU89 M69 JI69 TE69 ADA69 AMW69 AWS69 BGO69 BQK69 CAG69 CKC69 CTY69 DDU69 DNQ69 DXM69 EHI69 ERE69 FBA69 FKW69 FUS69 GEO69 GOK69 GYG69 HIC69 HRY69 IBU69 ILQ69 IVM69 JFI69 JPE69 JZA69 KIW69 KSS69 LCO69 LMK69 LWG69 MGC69 MPY69 MZU69 NJQ69 NTM69 ODI69 ONE69 OXA69 PGW69 PQS69 QAO69 QKK69 QUG69 REC69 RNY69 RXU69 SHQ69 SRM69 TBI69 TLE69 TVA69 UEW69 UOS69 UYO69 VIK69 VSG69 WCC69 WLY69 JG38:JG49 TC38:TC49 ACY38:ACY49 AMU38:AMU49 AWQ38:AWQ49 BGM38:BGM49 BQI38:BQI49 CAE38:CAE49 CKA38:CKA49 CTW38:CTW49 DDS38:DDS49 DNO38:DNO49 DXK38:DXK49 EHG38:EHG49 ERC38:ERC49 FAY38:FAY49 FKU38:FKU49 FUQ38:FUQ49 GEM38:GEM49 GOI38:GOI49 GYE38:GYE49 HIA38:HIA49 HRW38:HRW49 IBS38:IBS49 ILO38:ILO49 IVK38:IVK49 JFG38:JFG49 JPC38:JPC49 JYY38:JYY49 KIU38:KIU49 KSQ38:KSQ49 LCM38:LCM49 LMI38:LMI49 LWE38:LWE49 MGA38:MGA49 MPW38:MPW49 MZS38:MZS49 NJO38:NJO49 NTK38:NTK49 ODG38:ODG49 ONC38:ONC49 OWY38:OWY49 PGU38:PGU49 PQQ38:PQQ49 QAM38:QAM49 QKI38:QKI49 QUE38:QUE49 REA38:REA49 RNW38:RNW49 RXS38:RXS49 SHO38:SHO49 SRK38:SRK49 TBG38:TBG49 TLC38:TLC49 TUY38:TUY49 UEU38:UEU49 UOQ38:UOQ49 UYM38:UYM49 VII38:VII49 VSE38:VSE49 WCA38:WCA49 WLW38:WLW49 WVS38:WVS49 WVT71:WVT73 WLX71:WLX73 WCB71:WCB73 VSF71:VSF73 VIJ71:VIJ73 UYN71:UYN73 UOR71:UOR73 UEV71:UEV73 TUZ71:TUZ73 TLD71:TLD73 TBH71:TBH73 SRL71:SRL73 SHP71:SHP73 RXT71:RXT73 RNX71:RNX73 REB71:REB73 QUF71:QUF73 QKJ71:QKJ73 QAN71:QAN73 PQR71:PQR73 PGV71:PGV73 OWZ71:OWZ73 OND71:OND73 ODH71:ODH73 NTL71:NTL73 NJP71:NJP73 MZT71:MZT73 MPX71:MPX73 MGB71:MGB73 LWF71:LWF73 LMJ71:LMJ73 LCN71:LCN73 KSR71:KSR73 KIV71:KIV73 JYZ71:JYZ73 JPD71:JPD73 JFH71:JFH73 IVL71:IVL73 ILP71:ILP73 IBT71:IBT73 HRX71:HRX73 HIB71:HIB73 GYF71:GYF73 GOJ71:GOJ73 GEN71:GEN73 FUR71:FUR73 FKV71:FKV73 FAZ71:FAZ73 ERD71:ERD73 EHH71:EHH73 DXL71:DXL73 DNP71:DNP73 DDT71:DDT73 CTX71:CTX73 CKB71:CKB73 CAF71:CAF73 BQJ71:BQJ73 BGN71:BGN73 AWR71:AWR73 AMV71:AMV73 ACZ71:ACZ73 TD71:TD73 JH71:JH73 M71:M72 L73" xr:uid="{00000000-0002-0000-0400-000007000000}">
      <formula1>1</formula1>
      <formula2>20</formula2>
    </dataValidation>
    <dataValidation type="list" allowBlank="1" showInputMessage="1" showErrorMessage="1" errorTitle="Invalid Input" error="Please select a valid State from the drop-down list" sqref="IX3 ST3 ACP3 AML3 AWH3 BGD3 BPZ3 BZV3 CJR3 CTN3 DDJ3 DNF3 DXB3 EGX3 EQT3 FAP3 FKL3 FUH3 GED3 GNZ3 GXV3 HHR3 HRN3 IBJ3 ILF3 IVB3 JEX3 JOT3 JYP3 KIL3 KSH3 LCD3 LLZ3 LVV3 MFR3 MPN3 MZJ3 NJF3 NTB3 OCX3 OMT3 OWP3 PGL3 PQH3 QAD3 QJZ3 QTV3 RDR3 RNN3 RXJ3 SHF3 SRB3 TAX3 TKT3 TUP3 UEL3 UOH3 UYD3 VHZ3 VRV3 WBR3 WLN3 WVJ3 J3 J7 JA7 SW7 ACS7 AMO7 AWK7 BGG7 BQC7 BZY7 CJU7 CTQ7 DDM7 DNI7 DXE7 EHA7 EQW7 FAS7 FKO7 FUK7 GEG7 GOC7 GXY7 HHU7 HRQ7 IBM7 ILI7 IVE7 JFA7 JOW7 JYS7 KIO7 KSK7 LCG7 LMC7 LVY7 MFU7 MPQ7 MZM7 NJI7 NTE7 ODA7 OMW7 OWS7 PGO7 PQK7 QAG7 QKC7 QTY7 RDU7 RNQ7 RXM7 SHI7 SRE7 TBA7 TKW7 TUS7 UEO7 UOK7 UYG7 VIC7 VRY7 WBU7 WLQ7 WVM7 JF33 TB33 ACX33 AMT33 AWP33 BGL33 BQH33 CAD33 CJZ33 CTV33 DDR33 DNN33 DXJ33 EHF33 ERB33 FAX33 FKT33 FUP33 GEL33 GOH33 GYD33 HHZ33 HRV33 IBR33 ILN33 IVJ33 JFF33 JPB33 JYX33 KIT33 KSP33 LCL33 LMH33 LWD33 MFZ33 MPV33 MZR33 NJN33 NTJ33 ODF33 ONB33 OWX33 PGT33 PQP33 QAL33 QKH33 QUD33 RDZ33 RNV33 RXR33 SHN33 SRJ33 TBF33 TLB33 TUX33 UET33 UOP33 UYL33 VIH33 VSD33 WBZ33 WLV33 WVR33 J33 J38 WVR69 J42 J48:J49 J85 JF85 TB85 ACX85 AMT85 AWP85 BGL85 BQH85 CAD85 CJZ85 CTV85 DDR85 DNN85 DXJ85 EHF85 ERB85 FAX85 FKT85 FUP85 GEL85 GOH85 GYD85 HHZ85 HRV85 IBR85 ILN85 IVJ85 JFF85 JPB85 JYX85 KIT85 KSP85 LCL85 LMH85 LWD85 MFZ85 MPV85 MZR85 NJN85 NTJ85 ODF85 ONB85 OWX85 PGT85 PQP85 QAL85 QKH85 QUD85 RDZ85 RNV85 RXR85 SHN85 SRJ85 TBF85 TLB85 TUX85 UET85 UOP85 UYL85 VIH85 VSD85 WBZ85 WLV85 WVR85 WVN63:WVN64 WLR63:WLR64 WBV63:WBV64 VRZ63:VRZ64 VID63:VID64 UYH63:UYH64 UOL63:UOL64 UEP63:UEP64 TUT63:TUT64 TKX63:TKX64 TBB63:TBB64 SRF63:SRF64 SHJ63:SHJ64 RXN63:RXN64 RNR63:RNR64 RDV63:RDV64 QTZ63:QTZ64 QKD63:QKD64 QAH63:QAH64 PQL63:PQL64 PGP63:PGP64 OWT63:OWT64 OMX63:OMX64 ODB63:ODB64 NTF63:NTF64 NJJ63:NJJ64 MZN63:MZN64 MPR63:MPR64 MFV63:MFV64 LVZ63:LVZ64 LMD63:LMD64 LCH63:LCH64 KSL63:KSL64 KIP63:KIP64 JYT63:JYT64 JOX63:JOX64 JFB63:JFB64 IVF63:IVF64 ILJ63:ILJ64 IBN63:IBN64 HRR63:HRR64 HHV63:HHV64 GXZ63:GXZ64 GOD63:GOD64 GEH63:GEH64 FUL63:FUL64 FKP63:FKP64 FAT63:FAT64 EQX63:EQX64 EHB63:EHB64 DXF63:DXF64 DNJ63:DNJ64 DDN63:DDN64 CTR63:CTR64 CJV63:CJV64 BZZ63:BZZ64 BQD63:BQD64 BGH63:BGH64 AWL63:AWL64 AMP63:AMP64 ACT63:ACT64 SX63:SX64 JB63:JB64 J63:J64 J82:J83 J89 JF89 TB89 ACX89 AMT89 AWP89 BGL89 BQH89 CAD89 CJZ89 CTV89 DDR89 DNN89 DXJ89 EHF89 ERB89 FAX89 FKT89 FUP89 GEL89 GOH89 GYD89 HHZ89 HRV89 IBR89 ILN89 IVJ89 JFF89 JPB89 JYX89 KIT89 KSP89 LCL89 LMH89 LWD89 MFZ89 MPV89 MZR89 NJN89 NTJ89 ODF89 ONB89 OWX89 PGT89 PQP89 QAL89 QKH89 QUD89 RDZ89 RNV89 RXR89 SHN89 SRJ89 TBF89 TLB89 TUX89 UET89 UOP89 UYL89 VIH89 VSD89 WBZ89 WLV89 WVR89 J69 JF69 TB69 ACX69 AMT69 AWP69 BGL69 BQH69 CAD69 CJZ69 CTV69 DDR69 DNN69 DXJ69 EHF69 ERB69 FAX69 FKT69 FUP69 GEL69 GOH69 GYD69 HHZ69 HRV69 IBR69 ILN69 IVJ69 JFF69 JPB69 JYX69 KIT69 KSP69 LCL69 LMH69 LWD69 MFZ69 MPV69 MZR69 NJN69 NTJ69 ODF69 ONB69 OWX69 PGT69 PQP69 QAL69 QKH69 QUD69 RDZ69 RNV69 RXR69 SHN69 SRJ69 TBF69 TLB69 TUX69 UET69 UOP69 UYL69 VIH69 VSD69 WBZ69 WLV69 JD38:JD49 SZ38:SZ49 ACV38:ACV49 AMR38:AMR49 AWN38:AWN49 BGJ38:BGJ49 BQF38:BQF49 CAB38:CAB49 CJX38:CJX49 CTT38:CTT49 DDP38:DDP49 DNL38:DNL49 DXH38:DXH49 EHD38:EHD49 EQZ38:EQZ49 FAV38:FAV49 FKR38:FKR49 FUN38:FUN49 GEJ38:GEJ49 GOF38:GOF49 GYB38:GYB49 HHX38:HHX49 HRT38:HRT49 IBP38:IBP49 ILL38:ILL49 IVH38:IVH49 JFD38:JFD49 JOZ38:JOZ49 JYV38:JYV49 KIR38:KIR49 KSN38:KSN49 LCJ38:LCJ49 LMF38:LMF49 LWB38:LWB49 MFX38:MFX49 MPT38:MPT49 MZP38:MZP49 NJL38:NJL49 NTH38:NTH49 ODD38:ODD49 OMZ38:OMZ49 OWV38:OWV49 PGR38:PGR49 PQN38:PQN49 QAJ38:QAJ49 QKF38:QKF49 QUB38:QUB49 RDX38:RDX49 RNT38:RNT49 RXP38:RXP49 SHL38:SHL49 SRH38:SRH49 TBD38:TBD49 TKZ38:TKZ49 TUV38:TUV49 UER38:UER49 UON38:UON49 UYJ38:UYJ49 VIF38:VIF49 VSB38:VSB49 WBX38:WBX49 WLT38:WLT49 WVP38:WVP49 WVQ71:WVQ73 WLU71:WLU73 WBY71:WBY73 VSC71:VSC73 VIG71:VIG73 UYK71:UYK73 UOO71:UOO73 UES71:UES73 TUW71:TUW73 TLA71:TLA73 TBE71:TBE73 SRI71:SRI73 SHM71:SHM73 RXQ71:RXQ73 RNU71:RNU73 RDY71:RDY73 QUC71:QUC73 QKG71:QKG73 QAK71:QAK73 PQO71:PQO73 PGS71:PGS73 OWW71:OWW73 ONA71:ONA73 ODE71:ODE73 NTI71:NTI73 NJM71:NJM73 MZQ71:MZQ73 MPU71:MPU73 MFY71:MFY73 LWC71:LWC73 LMG71:LMG73 LCK71:LCK73 KSO71:KSO73 KIS71:KIS73 JYW71:JYW73 JPA71:JPA73 JFE71:JFE73 IVI71:IVI73 ILM71:ILM73 IBQ71:IBQ73 HRU71:HRU73 HHY71:HHY73 GYC71:GYC73 GOG71:GOG73 GEK71:GEK73 FUO71:FUO73 FKS71:FKS73 FAW71:FAW73 ERA71:ERA73 EHE71:EHE73 DXI71:DXI73 DNM71:DNM73 DDQ71:DDQ73 CTU71:CTU73 CJY71:CJY73 CAC71:CAC73 BQG71:BQG73 BGK71:BGK73 AWO71:AWO73 AMS71:AMS73 ACW71:ACW73 TA71:TA73 JE71:JE73 J71:J72 I73" xr:uid="{00000000-0002-0000-0400-000008000000}">
      <formula1>INDIRECT(IF(H3="INDIA",H3,"NA"))</formula1>
    </dataValidation>
    <dataValidation type="list" allowBlank="1" showInputMessage="1" showErrorMessage="1" errorTitle="Invalid Input" error="Please select a valid Country from the drop-down list" sqref="WVI3 WLM3 WBQ3 VRU3 VHY3 UYC3 UOG3 UEK3 TUO3 TKS3 TAW3 SRA3 SHE3 RXI3 RNM3 RDQ3 QTU3 QJY3 QAC3 PQG3 PGK3 OWO3 OMS3 OCW3 NTA3 NJE3 MZI3 MPM3 MFQ3 LVU3 LLY3 LCC3 KSG3 KIK3 JYO3 JOS3 JEW3 IVA3 ILE3 IBI3 HRM3 HHQ3 GXU3 GNY3 GEC3 FUG3 FKK3 FAO3 EQS3 EGW3 DXA3 DNE3 DDI3 CTM3 CJQ3 BZU3 BPY3 BGC3 AWG3 AMK3 ACO3 SS3 IW3 I3 I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JE33 TA33 ACW33 AMS33 AWO33 BGK33 BQG33 CAC33 CJY33 CTU33 DDQ33 DNM33 DXI33 EHE33 ERA33 FAW33 FKS33 FUO33 GEK33 GOG33 GYC33 HHY33 HRU33 IBQ33 ILM33 IVI33 JFE33 JPA33 JYW33 KIS33 KSO33 LCK33 LMG33 LWC33 MFY33 MPU33 MZQ33 NJM33 NTI33 ODE33 ONA33 OWW33 PGS33 PQO33 QAK33 QKG33 QUC33 RDY33 RNU33 RXQ33 SHM33 SRI33 TBE33 TLA33 TUW33 UES33 UOO33 UYK33 VIG33 VSC33 WBY33 WLU33 WVQ33 I33 WVQ69 I64 JA64 SW64 ACS64 AMO64 AWK64 BGG64 BQC64 BZY64 CJU64 CTQ64 DDM64 DNI64 DXE64 EHA64 EQW64 FAS64 FKO64 FUK64 GEG64 GOC64 GXY64 HHU64 HRQ64 IBM64 ILI64 IVE64 JFA64 JOW64 JYS64 KIO64 KSK64 LCG64 LMC64 LVY64 MFU64 MPQ64 MZM64 NJI64 NTE64 ODA64 OMW64 OWS64 PGO64 PQK64 QAG64 QKC64 QTY64 RDU64 RNQ64 RXM64 SHI64 SRE64 TBA64 TKW64 TUS64 UEO64 UOK64 UYG64 VIC64 VRY64 WBU64 WLQ64 WVM64 I82:I83 I89 JE89 TA89 ACW89 AMS89 AWO89 BGK89 BQG89 CAC89 CJY89 CTU89 DDQ89 DNM89 DXI89 EHE89 ERA89 FAW89 FKS89 FUO89 GEK89 GOG89 GYC89 HHY89 HRU89 IBQ89 ILM89 IVI89 JFE89 JPA89 JYW89 KIS89 KSO89 LCK89 LMG89 LWC89 MFY89 MPU89 MZQ89 NJM89 NTI89 ODE89 ONA89 OWW89 PGS89 PQO89 QAK89 QKG89 QUC89 RDY89 RNU89 RXQ89 SHM89 SRI89 TBE89 TLA89 TUW89 UES89 UOO89 UYK89 VIG89 VSC89 WBY89 WLU89 WVQ89 I69 JE69 TA69 ACW69 AMS69 AWO69 BGK69 BQG69 CAC69 CJY69 CTU69 DDQ69 DNM69 DXI69 EHE69 ERA69 FAW69 FKS69 FUO69 GEK69 GOG69 GYC69 HHY69 HRU69 IBQ69 ILM69 IVI69 JFE69 JPA69 JYW69 KIS69 KSO69 LCK69 LMG69 LWC69 MFY69 MPU69 MZQ69 NJM69 NTI69 ODE69 ONA69 OWW69 PGS69 PQO69 QAK69 QKG69 QUC69 RDY69 RNU69 RXQ69 SHM69 SRI69 TBE69 TLA69 TUW69 UES69 UOO69 UYK69 VIG69 VSC69 WBY69 WLU69 I38:I49 JC38:JC49 SY38:SY49 ACU38:ACU49 AMQ38:AMQ49 AWM38:AWM49 BGI38:BGI49 BQE38:BQE49 CAA38:CAA49 CJW38:CJW49 CTS38:CTS49 DDO38:DDO49 DNK38:DNK49 DXG38:DXG49 EHC38:EHC49 EQY38:EQY49 FAU38:FAU49 FKQ38:FKQ49 FUM38:FUM49 GEI38:GEI49 GOE38:GOE49 GYA38:GYA49 HHW38:HHW49 HRS38:HRS49 IBO38:IBO49 ILK38:ILK49 IVG38:IVG49 JFC38:JFC49 JOY38:JOY49 JYU38:JYU49 KIQ38:KIQ49 KSM38:KSM49 LCI38:LCI49 LME38:LME49 LWA38:LWA49 MFW38:MFW49 MPS38:MPS49 MZO38:MZO49 NJK38:NJK49 NTG38:NTG49 ODC38:ODC49 OMY38:OMY49 OWU38:OWU49 PGQ38:PGQ49 PQM38:PQM49 QAI38:QAI49 QKE38:QKE49 QUA38:QUA49 RDW38:RDW49 RNS38:RNS49 RXO38:RXO49 SHK38:SHK49 SRG38:SRG49 TBC38:TBC49 TKY38:TKY49 TUU38:TUU49 UEQ38:UEQ49 UOM38:UOM49 UYI38:UYI49 VIE38:VIE49 VSA38:VSA49 WBW38:WBW49 WLS38:WLS49 WVO38:WVO49 WVP71:WVP73 WLT71:WLT73 WBX71:WBX73 VSB71:VSB73 VIF71:VIF73 UYJ71:UYJ73 UON71:UON73 UER71:UER73 TUV71:TUV73 TKZ71:TKZ73 TBD71:TBD73 SRH71:SRH73 SHL71:SHL73 RXP71:RXP73 RNT71:RNT73 RDX71:RDX73 QUB71:QUB73 QKF71:QKF73 QAJ71:QAJ73 PQN71:PQN73 PGR71:PGR73 OWV71:OWV73 OMZ71:OMZ73 ODD71:ODD73 NTH71:NTH73 NJL71:NJL73 MZP71:MZP73 MPT71:MPT73 MFX71:MFX73 LWB71:LWB73 LMF71:LMF73 LCJ71:LCJ73 KSN71:KSN73 KIR71:KIR73 JYV71:JYV73 JOZ71:JOZ73 JFD71:JFD73 IVH71:IVH73 ILL71:ILL73 IBP71:IBP73 HRT71:HRT73 HHX71:HHX73 GYB71:GYB73 GOF71:GOF73 GEJ71:GEJ73 FUN71:FUN73 FKR71:FKR73 FAV71:FAV73 EQZ71:EQZ73 EHD71:EHD73 DXH71:DXH73 DNL71:DNL73 DDP71:DDP73 CTT71:CTT73 CJX71:CJX73 CAB71:CAB73 BQF71:BQF73 BGJ71:BGJ73 AWN71:AWN73 AMR71:AMR73 ACV71:ACV73 SZ71:SZ73 JD71:JD73 I71:I72 H73" xr:uid="{00000000-0002-0000-0400-000009000000}">
      <formula1>Country</formula1>
    </dataValidation>
    <dataValidation type="textLength" allowBlank="1" showInputMessage="1" showErrorMessage="1" errorTitle="Input Error" error="You cannot enter Address more than 300 characters" sqref="WVH3 WLL3 WBP3 VRT3 VHX3 UYB3 UOF3 UEJ3 TUN3 TKR3 TAV3 SQZ3 SHD3 RXH3 RNL3 RDP3 QTT3 QJX3 QAB3 PQF3 PGJ3 OWN3 OMR3 OCV3 NSZ3 NJD3 MZH3 MPL3 MFP3 LVT3 LLX3 LCB3 KSF3 KIJ3 JYN3 JOR3 JEV3 IUZ3 ILD3 IBH3 HRL3 HHP3 GXT3 GNX3 GEB3 FUF3 FKJ3 FAN3 EQR3 EGV3 DWZ3 DND3 DDH3 CTL3 CJP3 BZT3 BPX3 BGB3 AWF3 AMJ3 ACN3 SR3 IV3 H3 H7 IY7 SU7 ACQ7 AMM7 AWI7 BGE7 BQA7 BZW7 CJS7 CTO7 DDK7 DNG7 DXC7 EGY7 EQU7 FAQ7 FKM7 FUI7 GEE7 GOA7 GXW7 HHS7 HRO7 IBK7 ILG7 IVC7 JEY7 JOU7 JYQ7 KIM7 KSI7 LCE7 LMA7 LVW7 MFS7 MPO7 MZK7 NJG7 NTC7 OCY7 OMU7 OWQ7 PGM7 PQI7 QAE7 QKA7 QTW7 RDS7 RNO7 RXK7 SHG7 SRC7 TAY7 TKU7 TUQ7 UEM7 UOI7 UYE7 VIA7 VRW7 WBS7 WLO7 WVK7 JD33 SZ33 ACV33 AMR33 AWN33 BGJ33 BQF33 CAB33 CJX33 CTT33 DDP33 DNL33 DXH33 EHD33 EQZ33 FAV33 FKR33 FUN33 GEJ33 GOF33 GYB33 HHX33 HRT33 IBP33 ILL33 IVH33 JFD33 JOZ33 JYV33 KIR33 KSN33 LCJ33 LMF33 LWB33 MFX33 MPT33 MZP33 NJL33 NTH33 ODD33 OMZ33 OWV33 PGR33 PQN33 QAJ33 QKF33 QUB33 RDX33 RNT33 RXP33 SHL33 SRH33 TBD33 TKZ33 TUV33 UER33 UON33 UYJ33 VIF33 VSB33 WBX33 WLT33 WVP33 H33 H38:H40 WVP69 H64 IZ64 SV64 ACR64 AMN64 AWJ64 BGF64 BQB64 BZX64 CJT64 CTP64 DDL64 DNH64 DXD64 EGZ64 EQV64 FAR64 FKN64 FUJ64 GEF64 GOB64 GXX64 HHT64 HRP64 IBL64 ILH64 IVD64 JEZ64 JOV64 JYR64 KIN64 KSJ64 LCF64 LMB64 LVX64 MFT64 MPP64 MZL64 NJH64 NTD64 OCZ64 OMV64 OWR64 PGN64 PQJ64 QAF64 QKB64 QTX64 RDT64 RNP64 RXL64 SHH64 SRD64 TAZ64 TKV64 TUR64 UEN64 UOJ64 UYF64 VIB64 VRX64 WBT64 WLP64 WVL64 H82:H83 H89 JD89 SZ89 ACV89 AMR89 AWN89 BGJ89 BQF89 CAB89 CJX89 CTT89 DDP89 DNL89 DXH89 EHD89 EQZ89 FAV89 FKR89 FUN89 GEJ89 GOF89 GYB89 HHX89 HRT89 IBP89 ILL89 IVH89 JFD89 JOZ89 JYV89 KIR89 KSN89 LCJ89 LMF89 LWB89 MFX89 MPT89 MZP89 NJL89 NTH89 ODD89 OMZ89 OWV89 PGR89 PQN89 QAJ89 QKF89 QUB89 RDX89 RNT89 RXP89 SHL89 SRH89 TBD89 TKZ89 TUV89 UER89 UON89 UYJ89 VIF89 VSB89 WBX89 WLT89 WVP89 H69 JD69 SZ69 ACV69 AMR69 AWN69 BGJ69 BQF69 CAB69 CJX69 CTT69 DDP69 DNL69 DXH69 EHD69 EQZ69 FAV69 FKR69 FUN69 GEJ69 GOF69 GYB69 HHX69 HRT69 IBP69 ILL69 IVH69 JFD69 JOZ69 JYV69 KIR69 KSN69 LCJ69 LMF69 LWB69 MFX69 MPT69 MZP69 NJL69 NTH69 ODD69 OMZ69 OWV69 PGR69 PQN69 QAJ69 QKF69 QUB69 RDX69 RNT69 RXP69 SHL69 SRH69 TBD69 TKZ69 TUV69 UER69 UON69 UYJ69 VIF69 VSB69 WBX69 WLT69 JB38:JB49 SX38:SX49 ACT38:ACT49 AMP38:AMP49 AWL38:AWL49 BGH38:BGH49 BQD38:BQD49 BZZ38:BZZ49 CJV38:CJV49 CTR38:CTR49 DDN38:DDN49 DNJ38:DNJ49 DXF38:DXF49 EHB38:EHB49 EQX38:EQX49 FAT38:FAT49 FKP38:FKP49 FUL38:FUL49 GEH38:GEH49 GOD38:GOD49 GXZ38:GXZ49 HHV38:HHV49 HRR38:HRR49 IBN38:IBN49 ILJ38:ILJ49 IVF38:IVF49 JFB38:JFB49 JOX38:JOX49 JYT38:JYT49 KIP38:KIP49 KSL38:KSL49 LCH38:LCH49 LMD38:LMD49 LVZ38:LVZ49 MFV38:MFV49 MPR38:MPR49 MZN38:MZN49 NJJ38:NJJ49 NTF38:NTF49 ODB38:ODB49 OMX38:OMX49 OWT38:OWT49 PGP38:PGP49 PQL38:PQL49 QAH38:QAH49 QKD38:QKD49 QTZ38:QTZ49 RDV38:RDV49 RNR38:RNR49 RXN38:RXN49 SHJ38:SHJ49 SRF38:SRF49 TBB38:TBB49 TKX38:TKX49 TUT38:TUT49 UEP38:UEP49 UOL38:UOL49 UYH38:UYH49 VID38:VID49 VRZ38:VRZ49 WBV38:WBV49 WLR38:WLR49 WVN38:WVN49 H42:H49 WVO71:WVO73 WLS71:WLS73 WBW71:WBW73 VSA71:VSA73 VIE71:VIE73 UYI71:UYI73 UOM71:UOM73 UEQ71:UEQ73 TUU71:TUU73 TKY71:TKY73 TBC71:TBC73 SRG71:SRG73 SHK71:SHK73 RXO71:RXO73 RNS71:RNS73 RDW71:RDW73 QUA71:QUA73 QKE71:QKE73 QAI71:QAI73 PQM71:PQM73 PGQ71:PGQ73 OWU71:OWU73 OMY71:OMY73 ODC71:ODC73 NTG71:NTG73 NJK71:NJK73 MZO71:MZO73 MPS71:MPS73 MFW71:MFW73 LWA71:LWA73 LME71:LME73 LCI71:LCI73 KSM71:KSM73 KIQ71:KIQ73 JYU71:JYU73 JOY71:JOY73 JFC71:JFC73 IVG71:IVG73 ILK71:ILK73 IBO71:IBO73 HRS71:HRS73 HHW71:HHW73 GYA71:GYA73 GOE71:GOE73 GEI71:GEI73 FUM71:FUM73 FKQ71:FKQ73 FAU71:FAU73 EQY71:EQY73 EHC71:EHC73 DXG71:DXG73 DNK71:DNK73 DDO71:DDO73 CTS71:CTS73 CJW71:CJW73 CAA71:CAA73 BQE71:BQE73 BGI71:BGI73 AWM71:AWM73 AMQ71:AMQ73 ACU71:ACU73 SY71:SY73 JC71:JC73 H71:H72 G73" xr:uid="{00000000-0002-0000-0400-00000A000000}">
      <formula1>1</formula1>
      <formula2>300</formula2>
    </dataValidation>
    <dataValidation type="textLength" allowBlank="1" showInputMessage="1" showErrorMessage="1" errorTitle="Input Error" error="You cannot enter Name more than 35 characters" sqref="B7:G7 IS7:IX7 SO7:ST7 ACK7:ACP7 AMG7:AML7 AWC7:AWH7 BFY7:BGD7 BPU7:BPZ7 BZQ7:BZV7 CJM7:CJR7 CTI7:CTN7 DDE7:DDJ7 DNA7:DNF7 DWW7:DXB7 EGS7:EGX7 EQO7:EQT7 FAK7:FAP7 FKG7:FKL7 FUC7:FUH7 GDY7:GED7 GNU7:GNZ7 GXQ7:GXV7 HHM7:HHR7 HRI7:HRN7 IBE7:IBJ7 ILA7:ILF7 IUW7:IVB7 JES7:JEX7 JOO7:JOT7 JYK7:JYP7 KIG7:KIL7 KSC7:KSH7 LBY7:LCD7 LLU7:LLZ7 LVQ7:LVV7 MFM7:MFR7 MPI7:MPN7 MZE7:MZJ7 NJA7:NJF7 NSW7:NTB7 OCS7:OCX7 OMO7:OMT7 OWK7:OWP7 PGG7:PGL7 PQC7:PQH7 PZY7:QAD7 QJU7:QJZ7 QTQ7:QTV7 RDM7:RDR7 RNI7:RNN7 RXE7:RXJ7 SHA7:SHF7 SQW7:SRB7 TAS7:TAX7 TKO7:TKT7 TUK7:TUP7 UEG7:UEL7 UOC7:UOH7 UXY7:UYD7 VHU7:VHZ7 VRQ7:VRV7 WBM7:WBR7 WLI7:WLN7 WVE7:WVJ7 IX33:JC33 ST33:SY33 ACP33:ACU33 AML33:AMQ33 AWH33:AWM33 BGD33:BGI33 BPZ33:BQE33 BZV33:CAA33 CJR33:CJW33 CTN33:CTS33 DDJ33:DDO33 DNF33:DNK33 DXB33:DXG33 EGX33:EHC33 EQT33:EQY33 FAP33:FAU33 FKL33:FKQ33 FUH33:FUM33 GED33:GEI33 GNZ33:GOE33 GXV33:GYA33 HHR33:HHW33 HRN33:HRS33 IBJ33:IBO33 ILF33:ILK33 IVB33:IVG33 JEX33:JFC33 JOT33:JOY33 JYP33:JYU33 KIL33:KIQ33 KSH33:KSM33 LCD33:LCI33 LLZ33:LME33 LVV33:LWA33 MFR33:MFW33 MPN33:MPS33 MZJ33:MZO33 NJF33:NJK33 NTB33:NTG33 OCX33:ODC33 OMT33:OMY33 OWP33:OWU33 PGL33:PGQ33 PQH33:PQM33 QAD33:QAI33 QJZ33:QKE33 QTV33:QUA33 RDR33:RDW33 RNN33:RNS33 RXJ33:RXO33 SHF33:SHK33 SRB33:SRG33 TAX33:TBC33 TKT33:TKY33 TUP33:TUU33 UEL33:UEQ33 UOH33:UOM33 UYD33:UYI33 VHZ33:VIE33 VRV33:VSA33 WBR33:WBW33 WLN33:WLS33 WVJ33:WVO33 B33:G33 B64:G64 IT64:IY64 SP64:SU64 ACL64:ACQ64 AMH64:AMM64 AWD64:AWI64 BFZ64:BGE64 BPV64:BQA64 BZR64:BZW64 CJN64:CJS64 CTJ64:CTO64 DDF64:DDK64 DNB64:DNG64 DWX64:DXC64 EGT64:EGY64 EQP64:EQU64 FAL64:FAQ64 FKH64:FKM64 FUD64:FUI64 GDZ64:GEE64 GNV64:GOA64 GXR64:GXW64 HHN64:HHS64 HRJ64:HRO64 IBF64:IBK64 ILB64:ILG64 IUX64:IVC64 JET64:JEY64 JOP64:JOU64 JYL64:JYQ64 KIH64:KIM64 KSD64:KSI64 LBZ64:LCE64 LLV64:LMA64 LVR64:LVW64 MFN64:MFS64 MPJ64:MPO64 MZF64:MZK64 NJB64:NJG64 NSX64:NTC64 OCT64:OCY64 OMP64:OMU64 OWL64:OWQ64 PGH64:PGM64 PQD64:PQI64 PZZ64:QAE64 QJV64:QKA64 QTR64:QTW64 RDN64:RDS64 RNJ64:RNO64 RXF64:RXK64 SHB64:SHG64 SQX64:SRC64 TAT64:TAY64 TKP64:TKU64 TUL64:TUQ64 UEH64:UEM64 UOD64:UOI64 UXZ64:UYE64 VHV64:VIA64 VRR64:VRW64 WBN64:WBS64 WLJ64:WLO64 WVF64:WVK64 B82:G83 B89:G89 IX89:JC89 ST89:SY89 ACP89:ACU89 AML89:AMQ89 AWH89:AWM89 BGD89:BGI89 BPZ89:BQE89 BZV89:CAA89 CJR89:CJW89 CTN89:CTS89 DDJ89:DDO89 DNF89:DNK89 DXB89:DXG89 EGX89:EHC89 EQT89:EQY89 FAP89:FAU89 FKL89:FKQ89 FUH89:FUM89 GED89:GEI89 GNZ89:GOE89 GXV89:GYA89 HHR89:HHW89 HRN89:HRS89 IBJ89:IBO89 ILF89:ILK89 IVB89:IVG89 JEX89:JFC89 JOT89:JOY89 JYP89:JYU89 KIL89:KIQ89 KSH89:KSM89 LCD89:LCI89 LLZ89:LME89 LVV89:LWA89 MFR89:MFW89 MPN89:MPS89 MZJ89:MZO89 NJF89:NJK89 NTB89:NTG89 OCX89:ODC89 OMT89:OMY89 OWP89:OWU89 PGL89:PGQ89 PQH89:PQM89 QAD89:QAI89 QJZ89:QKE89 QTV89:QUA89 RDR89:RDW89 RNN89:RNS89 RXJ89:RXO89 SHF89:SHK89 SRB89:SRG89 TAX89:TBC89 TKT89:TKY89 TUP89:TUU89 UEL89:UEQ89 UOH89:UOM89 UYD89:UYI89 VHZ89:VIE89 VRV89:VSA89 WBR89:WBW89 WLN89:WLS89 WVJ89:WVO89 B69:G69 IX69:JC69 ST69:SY69 ACP69:ACU69 AML69:AMQ69 AWH69:AWM69 BGD69:BGI69 BPZ69:BQE69 BZV69:CAA69 CJR69:CJW69 CTN69:CTS69 DDJ69:DDO69 DNF69:DNK69 DXB69:DXG69 EGX69:EHC69 EQT69:EQY69 FAP69:FAU69 FKL69:FKQ69 FUH69:FUM69 GED69:GEI69 GNZ69:GOE69 GXV69:GYA69 HHR69:HHW69 HRN69:HRS69 IBJ69:IBO69 ILF69:ILK69 IVB69:IVG69 JEX69:JFC69 JOT69:JOY69 JYP69:JYU69 KIL69:KIQ69 KSH69:KSM69 LCD69:LCI69 LLZ69:LME69 LVV69:LWA69 MFR69:MFW69 MPN69:MPS69 MZJ69:MZO69 NJF69:NJK69 NTB69:NTG69 OCX69:ODC69 OMT69:OMY69 OWP69:OWU69 PGL69:PGQ69 PQH69:PQM69 QAD69:QAI69 QJZ69:QKE69 QTV69:QUA69 RDR69:RDW69 RNN69:RNS69 RXJ69:RXO69 SHF69:SHK69 SRB69:SRG69 TAX69:TBC69 TKT69:TKY69 TUP69:TUU69 UEL69:UEQ69 UOH69:UOM69 UYD69:UYI69 VHZ69:VIE69 VRV69:VSA69 WBR69:WBW69 WLN69:WLS69 WVJ69:WVO69 WVI71:WVN73 WLM71:WLR73 WBQ71:WBV73 VRU71:VRZ73 VHY71:VID73 UYC71:UYH73 UOG71:UOL73 UEK71:UEP73 TUO71:TUT73 TKS71:TKX73 TAW71:TBB73 SRA71:SRF73 SHE71:SHJ73 RXI71:RXN73 RNM71:RNR73 RDQ71:RDV73 QTU71:QTZ73 QJY71:QKD73 QAC71:QAH73 PQG71:PQL73 PGK71:PGP73 OWO71:OWT73 OMS71:OMX73 OCW71:ODB73 NTA71:NTF73 NJE71:NJJ73 MZI71:MZN73 MPM71:MPR73 MFQ71:MFV73 LVU71:LVZ73 LLY71:LMD73 LCC71:LCH73 KSG71:KSL73 KIK71:KIP73 JYO71:JYT73 JOS71:JOX73 JEW71:JFB73 IVA71:IVF73 ILE71:ILJ73 IBI71:IBN73 HRM71:HRR73 HHQ71:HHV73 GXU71:GXZ73 GNY71:GOD73 GEC71:GEH73 FUG71:FUL73 FKK71:FKP73 FAO71:FAT73 EQS71:EQX73 EGW71:EHB73 DXA71:DXF73 DNE71:DNJ73 DDI71:DDN73 CTM71:CTR73 CJQ71:CJV73 BZU71:BZZ73 BPY71:BQD73 BGC71:BGH73 AWG71:AWL73 AMK71:AMP73 ACO71:ACT73 SS71:SX73 IW71:JB73 B71:G72 A73:F73" xr:uid="{00000000-0002-0000-0400-00000B000000}">
      <formula1>1</formula1>
      <formula2>35</formula2>
    </dataValidation>
    <dataValidation type="list" allowBlank="1" showInputMessage="1" showErrorMessage="1" errorTitle="Invalid Input" error="Please select a valid District from  the drop-down list" sqref="K7 JB7 SX7 ACT7 AMP7 AWL7 BGH7 BQD7 BZZ7 CJV7 CTR7 DDN7 DNJ7 DXF7 EHB7 EQX7 FAT7 FKP7 FUL7 GEH7 GOD7 GXZ7 HHV7 HRR7 IBN7 ILJ7 IVF7 JFB7 JOX7 JYT7 KIP7 KSL7 LCH7 LMD7 LVZ7 MFV7 MPR7 MZN7 NJJ7 NTF7 ODB7 OMX7 OWT7 PGP7 PQL7 QAH7 QKD7 QTZ7 RDV7 RNR7 RXN7 SHJ7 SRF7 TBB7 TKX7 TUT7 UEP7 UOL7 UYH7 VID7 VRZ7 WBV7 WLR7 WVN7 JG33 TC33 ACY33 AMU33 AWQ33 BGM33 BQI33 CAE33 CKA33 CTW33 DDS33 DNO33 DXK33 EHG33 ERC33 FAY33 FKU33 FUQ33 GEM33 GOI33 GYE33 HIA33 HRW33 IBS33 ILO33 IVK33 JFG33 JPC33 JYY33 KIU33 KSQ33 LCM33 LMI33 LWE33 MGA33 MPW33 MZS33 NJO33 NTK33 ODG33 ONC33 OWY33 PGU33 PQQ33 QAM33 QKI33 QUE33 REA33 RNW33 RXS33 SHO33 SRK33 TBG33 TLC33 TUY33 UEU33 UOQ33 UYM33 VII33 VSE33 WCA33 WLW33 WVS33 K33 WVO64 WLS64 WBW64 VSA64 VIE64 UYI64 UOM64 UEQ64 TUU64 TKY64 TBC64 SRG64 SHK64 RXO64 RNS64 RDW64 QUA64 QKE64 QAI64 PQM64 PGQ64 OWU64 OMY64 ODC64 NTG64 NJK64 MZO64 MPS64 MFW64 LWA64 LME64 LCI64 KSM64 KIQ64 JYU64 JOY64 JFC64 IVG64 ILK64 IBO64 HRS64 HHW64 GYA64 GOE64 GEI64 FUM64 FKQ64 FAU64 EQY64 EHC64 DXG64 DNK64 DDO64 CTS64 CJW64 CAA64 BQE64 BGI64 AWM64 AMQ64 ACU64 SY64 JC64 K82:K83 K64 K89 JG89 TC89 ACY89 AMU89 AWQ89 BGM89 BQI89 CAE89 CKA89 CTW89 DDS89 DNO89 DXK89 EHG89 ERC89 FAY89 FKU89 FUQ89 GEM89 GOI89 GYE89 HIA89 HRW89 IBS89 ILO89 IVK89 JFG89 JPC89 JYY89 KIU89 KSQ89 LCM89 LMI89 LWE89 MGA89 MPW89 MZS89 NJO89 NTK89 ODG89 ONC89 OWY89 PGU89 PQQ89 QAM89 QKI89 QUE89 REA89 RNW89 RXS89 SHO89 SRK89 TBG89 TLC89 TUY89 UEU89 UOQ89 UYM89 VII89 VSE89 WCA89 WLW89 WVS89 K69 JG69 TC69 ACY69 AMU69 AWQ69 BGM69 BQI69 CAE69 CKA69 CTW69 DDS69 DNO69 DXK69 EHG69 ERC69 FAY69 FKU69 FUQ69 GEM69 GOI69 GYE69 HIA69 HRW69 IBS69 ILO69 IVK69 JFG69 JPC69 JYY69 KIU69 KSQ69 LCM69 LMI69 LWE69 MGA69 MPW69 MZS69 NJO69 NTK69 ODG69 ONC69 OWY69 PGU69 PQQ69 QAM69 QKI69 QUE69 REA69 RNW69 RXS69 SHO69 SRK69 TBG69 TLC69 TUY69 UEU69 UOQ69 UYM69 VII69 VSE69 WCA69 WLW69 WVS69 WVR71:WVR73 WLV71:WLV73 WBZ71:WBZ73 VSD71:VSD73 VIH71:VIH73 UYL71:UYL73 UOP71:UOP73 UET71:UET73 TUX71:TUX73 TLB71:TLB73 TBF71:TBF73 SRJ71:SRJ73 SHN71:SHN73 RXR71:RXR73 RNV71:RNV73 RDZ71:RDZ73 QUD71:QUD73 QKH71:QKH73 QAL71:QAL73 PQP71:PQP73 PGT71:PGT73 OWX71:OWX73 ONB71:ONB73 ODF71:ODF73 NTJ71:NTJ73 NJN71:NJN73 MZR71:MZR73 MPV71:MPV73 MFZ71:MFZ73 LWD71:LWD73 LMH71:LMH73 LCL71:LCL73 KSP71:KSP73 KIT71:KIT73 JYX71:JYX73 JPB71:JPB73 JFF71:JFF73 IVJ71:IVJ73 ILN71:ILN73 IBR71:IBR73 HRV71:HRV73 HHZ71:HHZ73 GYD71:GYD73 GOH71:GOH73 GEL71:GEL73 FUP71:FUP73 FKT71:FKT73 FAX71:FAX73 ERB71:ERB73 EHF71:EHF73 DXJ71:DXJ73 DNN71:DNN73 DDR71:DDR73 CTV71:CTV73 CJZ71:CJZ73 CAD71:CAD73 BQH71:BQH73 BGL71:BGL73 AWP71:AWP73 AMT71:AMT73 ACX71:ACX73 TB71:TB73 JF71:JF73 K71:K72 J73" xr:uid="{00000000-0002-0000-0400-00000C000000}">
      <formula1>INDIRECT(SUBSTITUTE(I7," ",""))</formula1>
    </dataValidation>
    <dataValidation type="textLength" allowBlank="1" showInputMessage="1" showErrorMessage="1" errorTitle="Input Error" error="Please enter a valid Pin Code" sqref="L7 JC7 SY7 ACU7 AMQ7 AWM7 BGI7 BQE7 CAA7 CJW7 CTS7 DDO7 DNK7 DXG7 EHC7 EQY7 FAU7 FKQ7 FUM7 GEI7 GOE7 GYA7 HHW7 HRS7 IBO7 ILK7 IVG7 JFC7 JOY7 JYU7 KIQ7 KSM7 LCI7 LME7 LWA7 MFW7 MPS7 MZO7 NJK7 NTG7 ODC7 OMY7 OWU7 PGQ7 PQM7 QAI7 QKE7 QUA7 RDW7 RNS7 RXO7 SHK7 SRG7 TBC7 TKY7 TUU7 UEQ7 UOM7 UYI7 VIE7 VSA7 WBW7 WLS7 WVO7 JH33 TD33 ACZ33 AMV33 AWR33 BGN33 BQJ33 CAF33 CKB33 CTX33 DDT33 DNP33 DXL33 EHH33 ERD33 FAZ33 FKV33 FUR33 GEN33 GOJ33 GYF33 HIB33 HRX33 IBT33 ILP33 IVL33 JFH33 JPD33 JYZ33 KIV33 KSR33 LCN33 LMJ33 LWF33 MGB33 MPX33 MZT33 NJP33 NTL33 ODH33 OND33 OWZ33 PGV33 PQR33 QAN33 QKJ33 QUF33 REB33 RNX33 RXT33 SHP33 SRL33 TBH33 TLD33 TUZ33 UEV33 UOR33 UYN33 VIJ33 VSF33 WCB33 WLX33 WVT33 L33 L85 JH85 TD85 ACZ85 AMV85 AWR85 BGN85 BQJ85 CAF85 CKB85 CTX85 DDT85 DNP85 DXL85 EHH85 ERD85 FAZ85 FKV85 FUR85 GEN85 GOJ85 GYF85 HIB85 HRX85 IBT85 ILP85 IVL85 JFH85 JPD85 JYZ85 KIV85 KSR85 LCN85 LMJ85 LWF85 MGB85 MPX85 MZT85 NJP85 NTL85 ODH85 OND85 OWZ85 PGV85 PQR85 QAN85 QKJ85 QUF85 REB85 RNX85 RXT85 SHP85 SRL85 TBH85 TLD85 TUZ85 UEV85 UOR85 UYN85 VIJ85 VSF85 WCB85 WLX85 WVT85 L63:L64 JD63:JD64 SZ63:SZ64 ACV63:ACV64 AMR63:AMR64 AWN63:AWN64 BGJ63:BGJ64 BQF63:BQF64 CAB63:CAB64 CJX63:CJX64 CTT63:CTT64 DDP63:DDP64 DNL63:DNL64 DXH63:DXH64 EHD63:EHD64 EQZ63:EQZ64 FAV63:FAV64 FKR63:FKR64 FUN63:FUN64 GEJ63:GEJ64 GOF63:GOF64 GYB63:GYB64 HHX63:HHX64 HRT63:HRT64 IBP63:IBP64 ILL63:ILL64 IVH63:IVH64 JFD63:JFD64 JOZ63:JOZ64 JYV63:JYV64 KIR63:KIR64 KSN63:KSN64 LCJ63:LCJ64 LMF63:LMF64 LWB63:LWB64 MFX63:MFX64 MPT63:MPT64 MZP63:MZP64 NJL63:NJL64 NTH63:NTH64 ODD63:ODD64 OMZ63:OMZ64 OWV63:OWV64 PGR63:PGR64 PQN63:PQN64 QAJ63:QAJ64 QKF63:QKF64 QUB63:QUB64 RDX63:RDX64 RNT63:RNT64 RXP63:RXP64 SHL63:SHL64 SRH63:SRH64 TBD63:TBD64 TKZ63:TKZ64 TUV63:TUV64 UER63:UER64 UON63:UON64 UYJ63:UYJ64 VIF63:VIF64 VSB63:VSB64 WBX63:WBX64 WLT63:WLT64 WVP63:WVP64 L82:L83 L89 JH89 TD89 ACZ89 AMV89 AWR89 BGN89 BQJ89 CAF89 CKB89 CTX89 DDT89 DNP89 DXL89 EHH89 ERD89 FAZ89 FKV89 FUR89 GEN89 GOJ89 GYF89 HIB89 HRX89 IBT89 ILP89 IVL89 JFH89 JPD89 JYZ89 KIV89 KSR89 LCN89 LMJ89 LWF89 MGB89 MPX89 MZT89 NJP89 NTL89 ODH89 OND89 OWZ89 PGV89 PQR89 QAN89 QKJ89 QUF89 REB89 RNX89 RXT89 SHP89 SRL89 TBH89 TLD89 TUZ89 UEV89 UOR89 UYN89 VIJ89 VSF89 WCB89 WLX89 WVT89 L69 JH69 TD69 ACZ69 AMV69 AWR69 BGN69 BQJ69 CAF69 CKB69 CTX69 DDT69 DNP69 DXL69 EHH69 ERD69 FAZ69 FKV69 FUR69 GEN69 GOJ69 GYF69 HIB69 HRX69 IBT69 ILP69 IVL69 JFH69 JPD69 JYZ69 KIV69 KSR69 LCN69 LMJ69 LWF69 MGB69 MPX69 MZT69 NJP69 NTL69 ODH69 OND69 OWZ69 PGV69 PQR69 QAN69 QKJ69 QUF69 REB69 RNX69 RXT69 SHP69 SRL69 TBH69 TLD69 TUZ69 UEV69 UOR69 UYN69 VIJ69 VSF69 WCB69 WLX69 WVT69 WVS71:WVS73 WLW71:WLW73 WCA71:WCA73 VSE71:VSE73 VII71:VII73 UYM71:UYM73 UOQ71:UOQ73 UEU71:UEU73 TUY71:TUY73 TLC71:TLC73 TBG71:TBG73 SRK71:SRK73 SHO71:SHO73 RXS71:RXS73 RNW71:RNW73 REA71:REA73 QUE71:QUE73 QKI71:QKI73 QAM71:QAM73 PQQ71:PQQ73 PGU71:PGU73 OWY71:OWY73 ONC71:ONC73 ODG71:ODG73 NTK71:NTK73 NJO71:NJO73 MZS71:MZS73 MPW71:MPW73 MGA71:MGA73 LWE71:LWE73 LMI71:LMI73 LCM71:LCM73 KSQ71:KSQ73 KIU71:KIU73 JYY71:JYY73 JPC71:JPC73 JFG71:JFG73 IVK71:IVK73 ILO71:ILO73 IBS71:IBS73 HRW71:HRW73 HIA71:HIA73 GYE71:GYE73 GOI71:GOI73 GEM71:GEM73 FUQ71:FUQ73 FKU71:FKU73 FAY71:FAY73 ERC71:ERC73 EHG71:EHG73 DXK71:DXK73 DNO71:DNO73 DDS71:DDS73 CTW71:CTW73 CKA71:CKA73 CAE71:CAE73 BQI71:BQI73 BGM71:BGM73 AWQ71:AWQ73 AMU71:AMU73 ACY71:ACY73 TC71:TC73 JG71:JG73 L71:L72 K73" xr:uid="{00000000-0002-0000-0400-00000D000000}">
      <formula1>6</formula1>
      <formula2>12</formula2>
    </dataValidation>
    <dataValidation type="textLength" operator="lessThanOrEqual" allowBlank="1" showInputMessage="1" showErrorMessage="1" errorTitle="Input Error" error="DP Id-Client Id-Account Number should be alphanumeric and of length less than or equal to 60 characters" sqref="N7 JE7 TA7 ACW7 AMS7 AWO7 BGK7 BQG7 CAC7 CJY7 CTU7 DDQ7 DNM7 DXI7 EHE7 ERA7 FAW7 FKS7 FUO7 GEK7 GOG7 GYC7 HHY7 HRU7 IBQ7 ILM7 IVI7 JFE7 JPA7 JYW7 KIS7 KSO7 LCK7 LMG7 LWC7 MFY7 MPU7 MZQ7 NJM7 NTI7 ODE7 ONA7 OWW7 PGS7 PQO7 QAK7 QKG7 QUC7 RDY7 RNU7 RXQ7 SHM7 SRI7 TBE7 TLA7 TUW7 UES7 UOO7 UYK7 VIG7 VSC7 WBY7 WLU7 WVQ7 JJ33 TF33 ADB33 AMX33 AWT33 BGP33 BQL33 CAH33 CKD33 CTZ33 DDV33 DNR33 DXN33 EHJ33 ERF33 FBB33 FKX33 FUT33 GEP33 GOL33 GYH33 HID33 HRZ33 IBV33 ILR33 IVN33 JFJ33 JPF33 JZB33 KIX33 KST33 LCP33 LML33 LWH33 MGD33 MPZ33 MZV33 NJR33 NTN33 ODJ33 ONF33 OXB33 PGX33 PQT33 QAP33 QKL33 QUH33 RED33 RNZ33 RXV33 SHR33 SRN33 TBJ33 TLF33 TVB33 UEX33 UOT33 UYP33 VIL33 VSH33 WCD33 WLZ33 WVV33 N33 N64 JF64 TB64 ACX64 AMT64 AWP64 BGL64 BQH64 CAD64 CJZ64 CTV64 DDR64 DNN64 DXJ64 EHF64 ERB64 FAX64 FKT64 FUP64 GEL64 GOH64 GYD64 HHZ64 HRV64 IBR64 ILN64 IVJ64 JFF64 JPB64 JYX64 KIT64 KSP64 LCL64 LMH64 LWD64 MFZ64 MPV64 MZR64 NJN64 NTJ64 ODF64 ONB64 OWX64 PGT64 PQP64 QAL64 QKH64 QUD64 RDZ64 RNV64 RXR64 SHN64 SRJ64 TBF64 TLB64 TUX64 UET64 UOP64 UYL64 VIH64 VSD64 WBZ64 WLV64 WVR64 N82:N83 N89 JJ89 TF89 ADB89 AMX89 AWT89 BGP89 BQL89 CAH89 CKD89 CTZ89 DDV89 DNR89 DXN89 EHJ89 ERF89 FBB89 FKX89 FUT89 GEP89 GOL89 GYH89 HID89 HRZ89 IBV89 ILR89 IVN89 JFJ89 JPF89 JZB89 KIX89 KST89 LCP89 LML89 LWH89 MGD89 MPZ89 MZV89 NJR89 NTN89 ODJ89 ONF89 OXB89 PGX89 PQT89 QAP89 QKL89 QUH89 RED89 RNZ89 RXV89 SHR89 SRN89 TBJ89 TLF89 TVB89 UEX89 UOT89 UYP89 VIL89 VSH89 WCD89 WLZ89 WVV89 N69 JJ69 TF69 ADB69 AMX69 AWT69 BGP69 BQL69 CAH69 CKD69 CTZ69 DDV69 DNR69 DXN69 EHJ69 ERF69 FBB69 FKX69 FUT69 GEP69 GOL69 GYH69 HID69 HRZ69 IBV69 ILR69 IVN69 JFJ69 JPF69 JZB69 KIX69 KST69 LCP69 LML69 LWH69 MGD69 MPZ69 MZV69 NJR69 NTN69 ODJ69 ONF69 OXB69 PGX69 PQT69 QAP69 QKL69 QUH69 RED69 RNZ69 RXV69 SHR69 SRN69 TBJ69 TLF69 TVB69 UEX69 UOT69 UYP69 VIL69 VSH69 WCD69 WLZ69 WVV69 WVU71:WVU73 WLY71:WLY73 WCC71:WCC73 VSG71:VSG73 VIK71:VIK73 UYO71:UYO73 UOS71:UOS73 UEW71:UEW73 TVA71:TVA73 TLE71:TLE73 TBI71:TBI73 SRM71:SRM73 SHQ71:SHQ73 RXU71:RXU73 RNY71:RNY73 REC71:REC73 QUG71:QUG73 QKK71:QKK73 QAO71:QAO73 PQS71:PQS73 PGW71:PGW73 OXA71:OXA73 ONE71:ONE73 ODI71:ODI73 NTM71:NTM73 NJQ71:NJQ73 MZU71:MZU73 MPY71:MPY73 MGC71:MGC73 LWG71:LWG73 LMK71:LMK73 LCO71:LCO73 KSS71:KSS73 KIW71:KIW73 JZA71:JZA73 JPE71:JPE73 JFI71:JFI73 IVM71:IVM73 ILQ71:ILQ73 IBU71:IBU73 HRY71:HRY73 HIC71:HIC73 GYG71:GYG73 GOK71:GOK73 GEO71:GEO73 FUS71:FUS73 FKW71:FKW73 FBA71:FBA73 ERE71:ERE73 EHI71:EHI73 DXM71:DXM73 DNQ71:DNQ73 DDU71:DDU73 CTY71:CTY73 CKC71:CKC73 CAG71:CAG73 BQK71:BQK73 BGO71:BGO73 AWS71:AWS73 AMW71:AMW73 ADA71:ADA73 TE71:TE73 JI71:JI73 N71:N72 M73" xr:uid="{00000000-0002-0000-0400-00000E000000}">
      <formula1>60</formula1>
    </dataValidation>
    <dataValidation type="list" allowBlank="1" showInputMessage="1" showErrorMessage="1" errorTitle="Invalid Input" error="Please select a valid Investment Type from the drop down list" sqref="O7:O8 JF7 TB7 ACX7 AMT7 AWP7 BGL7 BQH7 CAD7 CJZ7 CTV7 DDR7 DNN7 DXJ7 EHF7 ERB7 FAX7 FKT7 FUP7 GEL7 GOH7 GYD7 HHZ7 HRV7 IBR7 ILN7 IVJ7 JFF7 JPB7 JYX7 KIT7 KSP7 LCL7 LMH7 LWD7 MFZ7 MPV7 MZR7 NJN7 NTJ7 ODF7 ONB7 OWX7 PGT7 PQP7 QAL7 QKH7 QUD7 RDZ7 RNV7 RXR7 SHN7 SRJ7 TBF7 TLB7 TUX7 UET7 UOP7 UYL7 VIH7 VSD7 WBZ7 WLV7 WVR7 JK33 TG33 ADC33 AMY33 AWU33 BGQ33 BQM33 CAI33 CKE33 CUA33 DDW33 DNS33 DXO33 EHK33 ERG33 FBC33 FKY33 FUU33 GEQ33 GOM33 GYI33 HIE33 HSA33 IBW33 ILS33 IVO33 JFK33 JPG33 JZC33 KIY33 KSU33 LCQ33 LMM33 LWI33 MGE33 MQA33 MZW33 NJS33 NTO33 ODK33 ONG33 OXC33 PGY33 PQU33 QAQ33 QKM33 QUI33 REE33 ROA33 RXW33 SHS33 SRO33 TBK33 TLG33 TVC33 UEY33 UOU33 UYQ33 VIM33 VSI33 WCE33 WMA33 WVW33 O64 JG64 TC64 ACY64 AMU64 AWQ64 BGM64 BQI64 CAE64 CKA64 CTW64 DDS64 DNO64 DXK64 EHG64 ERC64 FAY64 FKU64 FUQ64 GEM64 GOI64 GYE64 HIA64 HRW64 IBS64 ILO64 IVK64 JFG64 JPC64 JYY64 KIU64 KSQ64 LCM64 LMI64 LWE64 MGA64 MPW64 MZS64 NJO64 NTK64 ODG64 ONC64 OWY64 PGU64 PQQ64 QAM64 QKI64 QUE64 REA64 RNW64 RXS64 SHO64 SRK64 TBG64 TLC64 TUY64 UEU64 UOQ64 UYM64 VII64 VSE64 WCA64 WLW64 WVS64 O82:O83 O89 JK89 TG89 ADC89 AMY89 AWU89 BGQ89 BQM89 CAI89 CKE89 CUA89 DDW89 DNS89 DXO89 EHK89 ERG89 FBC89 FKY89 FUU89 GEQ89 GOM89 GYI89 HIE89 HSA89 IBW89 ILS89 IVO89 JFK89 JPG89 JZC89 KIY89 KSU89 LCQ89 LMM89 LWI89 MGE89 MQA89 MZW89 NJS89 NTO89 ODK89 ONG89 OXC89 PGY89 PQU89 QAQ89 QKM89 QUI89 REE89 ROA89 RXW89 SHS89 SRO89 TBK89 TLG89 TVC89 UEY89 UOU89 UYQ89 VIM89 VSI89 WCE89 WMA89 WVW89 O69 JK69 TG69 ADC69 AMY69 AWU69 BGQ69 BQM69 CAI69 CKE69 CUA69 DDW69 DNS69 DXO69 EHK69 ERG69 FBC69 FKY69 FUU69 GEQ69 GOM69 GYI69 HIE69 HSA69 IBW69 ILS69 IVO69 JFK69 JPG69 JZC69 KIY69 KSU69 LCQ69 LMM69 LWI69 MGE69 MQA69 MZW69 NJS69 NTO69 ODK69 ONG69 OXC69 PGY69 PQU69 QAQ69 QKM69 QUI69 REE69 ROA69 RXW69 SHS69 SRO69 TBK69 TLG69 TVC69 UEY69 UOU69 UYQ69 VIM69 VSI69 WCE69 WMA69 WVW69 N8 WVV71:WVV73 WLZ71:WLZ73 WCD71:WCD73 VSH71:VSH73 VIL71:VIL73 UYP71:UYP73 UOT71:UOT73 UEX71:UEX73 TVB71:TVB73 TLF71:TLF73 TBJ71:TBJ73 SRN71:SRN73 SHR71:SHR73 RXV71:RXV73 RNZ71:RNZ73 RED71:RED73 QUH71:QUH73 QKL71:QKL73 QAP71:QAP73 PQT71:PQT73 PGX71:PGX73 OXB71:OXB73 ONF71:ONF73 ODJ71:ODJ73 NTN71:NTN73 NJR71:NJR73 MZV71:MZV73 MPZ71:MPZ73 MGD71:MGD73 LWH71:LWH73 LML71:LML73 LCP71:LCP73 KST71:KST73 KIX71:KIX73 JZB71:JZB73 JPF71:JPF73 JFJ71:JFJ73 IVN71:IVN73 ILR71:ILR73 IBV71:IBV73 HRZ71:HRZ73 HID71:HID73 GYH71:GYH73 GOL71:GOL73 GEP71:GEP73 FUT71:FUT73 FKX71:FKX73 FBB71:FBB73 ERF71:ERF73 EHJ71:EHJ73 DXN71:DXN73 DNR71:DNR73 DDV71:DDV73 CTZ71:CTZ73 CKD71:CKD73 CAH71:CAH73 BQL71:BQL73 BGP71:BGP73 AWT71:AWT73 AMX71:AMX73 ADB71:ADB73 TF71:TF73 JJ71:JJ73 O71:O72 N73" xr:uid="{00000000-0002-0000-0400-00000F000000}">
      <formula1>InvestmentType</formula1>
    </dataValidation>
    <dataValidation type="decimal" allowBlank="1" showInputMessage="1" showErrorMessage="1" errorTitle="Input Error" error="Please enter the proper Amount ranging from 0.01 - 9999999999999.99" sqref="O7 JG7 TC7 ACY7 AMU7 AWQ7 BGM7 BQI7 CAE7 CKA7 CTW7 DDS7 DNO7 DXK7 EHG7 ERC7 FAY7 FKU7 FUQ7 GEM7 GOI7 GYE7 HIA7 HRW7 IBS7 ILO7 IVK7 JFG7 JPC7 JYY7 KIU7 KSQ7 LCM7 LMI7 LWE7 MGA7 MPW7 MZS7 NJO7 NTK7 ODG7 ONC7 OWY7 PGU7 PQQ7 QAM7 QKI7 QUE7 REA7 RNW7 RXS7 SHO7 SRK7 TBG7 TLC7 TUY7 UEU7 UOQ7 UYM7 VII7 VSE7 WCA7 WLW7 WVS7 JL33 TH33 ADD33 AMZ33 AWV33 BGR33 BQN33 CAJ33 CKF33 CUB33 DDX33 DNT33 DXP33 EHL33 ERH33 FBD33 FKZ33 FUV33 GER33 GON33 GYJ33 HIF33 HSB33 IBX33 ILT33 IVP33 JFL33 JPH33 JZD33 KIZ33 KSV33 LCR33 LMN33 LWJ33 MGF33 MQB33 MZX33 NJT33 NTP33 ODL33 ONH33 OXD33 PGZ33 PQV33 QAR33 QKN33 QUJ33 REF33 ROB33 RXX33 SHT33 SRP33 TBL33 TLH33 TVD33 UEZ33 UOV33 UYR33 VIN33 VSJ33 WCF33 WMB33 WVX33 WVX85 P85 JL85 TH85 ADD85 AMZ85 AWV85 BGR85 BQN85 CAJ85 CKF85 CUB85 DDX85 DNT85 DXP85 EHL85 ERH85 FBD85 FKZ85 FUV85 GER85 GON85 GYJ85 HIF85 HSB85 IBX85 ILT85 IVP85 JFL85 JPH85 JZD85 KIZ85 KSV85 LCR85 LMN85 LWJ85 MGF85 MQB85 MZX85 NJT85 NTP85 ODL85 ONH85 OXD85 PGZ85 PQV85 QAR85 QKN85 QUJ85 REF85 ROB85 RXX85 SHT85 SRP85 TBL85 TLH85 TVD85 UEZ85 UOV85 UYR85 VIN85 VSJ85 WCF85 WMB85 P63:P64 JH63:JH64 TD63:TD64 ACZ63:ACZ64 AMV63:AMV64 AWR63:AWR64 BGN63:BGN64 BQJ63:BQJ64 CAF63:CAF64 CKB63:CKB64 CTX63:CTX64 DDT63:DDT64 DNP63:DNP64 DXL63:DXL64 EHH63:EHH64 ERD63:ERD64 FAZ63:FAZ64 FKV63:FKV64 FUR63:FUR64 GEN63:GEN64 GOJ63:GOJ64 GYF63:GYF64 HIB63:HIB64 HRX63:HRX64 IBT63:IBT64 ILP63:ILP64 IVL63:IVL64 JFH63:JFH64 JPD63:JPD64 JYZ63:JYZ64 KIV63:KIV64 KSR63:KSR64 LCN63:LCN64 LMJ63:LMJ64 LWF63:LWF64 MGB63:MGB64 MPX63:MPX64 MZT63:MZT64 NJP63:NJP64 NTL63:NTL64 ODH63:ODH64 OND63:OND64 OWZ63:OWZ64 PGV63:PGV64 PQR63:PQR64 QAN63:QAN64 QKJ63:QKJ64 QUF63:QUF64 REB63:REB64 RNX63:RNX64 RXT63:RXT64 SHP63:SHP64 SRL63:SRL64 TBH63:TBH64 TLD63:TLD64 TUZ63:TUZ64 UEV63:UEV64 UOR63:UOR64 UYN63:UYN64 VIJ63:VIJ64 VSF63:VSF64 WCB63:WCB64 WLX63:WLX64 WVT63:WVT64 P89 JL89 TH89 ADD89 AMZ89 AWV89 BGR89 BQN89 CAJ89 CKF89 CUB89 DDX89 DNT89 DXP89 EHL89 ERH89 FBD89 FKZ89 FUV89 GER89 GON89 GYJ89 HIF89 HSB89 IBX89 ILT89 IVP89 JFL89 JPH89 JZD89 KIZ89 KSV89 LCR89 LMN89 LWJ89 MGF89 MQB89 MZX89 NJT89 NTP89 ODL89 ONH89 OXD89 PGZ89 PQV89 QAR89 QKN89 QUJ89 REF89 ROB89 RXX89 SHT89 SRP89 TBL89 TLH89 TVD89 UEZ89 UOV89 UYR89 VIN89 VSJ89 WCF89 WMB89 WVX89 P69 JL69 TH69 ADD69 AMZ69 AWV69 BGR69 BQN69 CAJ69 CKF69 CUB69 DDX69 DNT69 DXP69 EHL69 ERH69 FBD69 FKZ69 FUV69 GER69 GON69 GYJ69 HIF69 HSB69 IBX69 ILT69 IVP69 JFL69 JPH69 JZD69 KIZ69 KSV69 LCR69 LMN69 LWJ69 MGF69 MQB69 MZX69 NJT69 NTP69 ODL69 ONH69 OXD69 PGZ69 PQV69 QAR69 QKN69 QUJ69 REF69 ROB69 RXX69 SHT69 SRP69 TBL69 TLH69 TVD69 UEZ69 UOV69 UYR69 VIN69 VSJ69 WCF69 WMB69 WVX69 WVW71:WVW73 WMA71:WMA73 WCE71:WCE73 VSI71:VSI73 VIM71:VIM73 UYQ71:UYQ73 UOU71:UOU73 UEY71:UEY73 TVC71:TVC73 TLG71:TLG73 TBK71:TBK73 SRO71:SRO73 SHS71:SHS73 RXW71:RXW73 ROA71:ROA73 REE71:REE73 QUI71:QUI73 QKM71:QKM73 QAQ71:QAQ73 PQU71:PQU73 PGY71:PGY73 OXC71:OXC73 ONG71:ONG73 ODK71:ODK73 NTO71:NTO73 NJS71:NJS73 MZW71:MZW73 MQA71:MQA73 MGE71:MGE73 LWI71:LWI73 LMM71:LMM73 LCQ71:LCQ73 KSU71:KSU73 KIY71:KIY73 JZC71:JZC73 JPG71:JPG73 JFK71:JFK73 IVO71:IVO73 ILS71:ILS73 IBW71:IBW73 HSA71:HSA73 HIE71:HIE73 GYI71:GYI73 GOM71:GOM73 GEQ71:GEQ73 FUU71:FUU73 FKY71:FKY73 FBC71:FBC73 ERG71:ERG73 EHK71:EHK73 DXO71:DXO73 DNS71:DNS73 DDW71:DDW73 CUA71:CUA73 CKE71:CKE73 CAI71:CAI73 BQM71:BQM73 BGQ71:BGQ73 AWU71:AWU73 AMY71:AMY73 ADC71:ADC73 TG71:TG73 JK71:JK73 P71:P72 O73" xr:uid="{00000000-0002-0000-0400-000010000000}">
      <formula1>0.01</formula1>
      <formula2>9999999999999.99</formula2>
    </dataValidation>
    <dataValidation type="textLength" operator="equal" allowBlank="1" showInputMessage="1" showErrorMessage="1" errorTitle="Input Error" error="Please enter the Date of Event in the required format" sqref="P7 JH7 TD7 ACZ7 AMV7 AWR7 BGN7 BQJ7 CAF7 CKB7 CTX7 DDT7 DNP7 DXL7 EHH7 ERD7 FAZ7 FKV7 FUR7 GEN7 GOJ7 GYF7 HIB7 HRX7 IBT7 ILP7 IVL7 JFH7 JPD7 JYZ7 KIV7 KSR7 LCN7 LMJ7 LWF7 MGB7 MPX7 MZT7 NJP7 NTL7 ODH7 OND7 OWZ7 PGV7 PQR7 QAN7 QKJ7 QUF7 REB7 RNX7 RXT7 SHP7 SRL7 TBH7 TLD7 TUZ7 UEV7 UOR7 UYN7 VIJ7 VSF7 WCB7 WLX7 WVT7 P9 P11 P13 P19 P21:P24 P28:P29 P31 JM33 TI33 ADE33 ANA33 AWW33 BGS33 BQO33 CAK33 CKG33 CUC33 DDY33 DNU33 DXQ33 EHM33 ERI33 FBE33 FLA33 FUW33 GES33 GOO33 GYK33 HIG33 HSC33 IBY33 ILU33 IVQ33 JFM33 JPI33 JZE33 KJA33 KSW33 LCS33 LMO33 LWK33 MGG33 MQC33 MZY33 NJU33 NTQ33 ODM33 ONI33 OXE33 PHA33 PQW33 QAS33 QKO33 QUK33 REG33 ROC33 RXY33 SHU33 SRQ33 TBM33 TLI33 TVE33 UFA33 UOW33 UYS33 VIO33 VSK33 WCG33 WMC33 WVY33 P82:P83 JM85 TI85 ADE85 ANA85 AWW85 BGS85 BQO85 CAK85 CKG85 CUC85 DDY85 DNU85 DXQ85 EHM85 ERI85 FBE85 FLA85 FUW85 GES85 GOO85 GYK85 HIG85 HSC85 IBY85 ILU85 IVQ85 JFM85 JPI85 JZE85 KJA85 KSW85 LCS85 LMO85 LWK85 MGG85 MQC85 MZY85 NJU85 NTQ85 ODM85 ONI85 OXE85 PHA85 PQW85 QAS85 QKO85 QUK85 REG85 ROC85 RXY85 SHU85 SRQ85 TBM85 TLI85 TVE85 UFA85 UOW85 UYS85 VIO85 VSK85 WCG85 WMC85 WVY85 P33:Q36 P38:P41 JI63:JI64 TE63:TE64 ADA63:ADA64 AMW63:AMW64 AWS63:AWS64 BGO63:BGO64 BQK63:BQK64 CAG63:CAG64 CKC63:CKC64 CTY63:CTY64 DDU63:DDU64 DNQ63:DNQ64 DXM63:DXM64 EHI63:EHI64 ERE63:ERE64 FBA63:FBA64 FKW63:FKW64 FUS63:FUS64 GEO63:GEO64 GOK63:GOK64 GYG63:GYG64 HIC63:HIC64 HRY63:HRY64 IBU63:IBU64 ILQ63:ILQ64 IVM63:IVM64 JFI63:JFI64 JPE63:JPE64 JZA63:JZA64 KIW63:KIW64 KSS63:KSS64 LCO63:LCO64 LMK63:LMK64 LWG63:LWG64 MGC63:MGC64 MPY63:MPY64 MZU63:MZU64 NJQ63:NJQ64 NTM63:NTM64 ODI63:ODI64 ONE63:ONE64 OXA63:OXA64 PGW63:PGW64 PQS63:PQS64 QAO63:QAO64 QKK63:QKK64 QUG63:QUG64 REC63:REC64 RNY63:RNY64 RXU63:RXU64 SHQ63:SHQ64 SRM63:SRM64 TBI63:TBI64 TLE63:TLE64 TVA63:TVA64 UEW63:UEW64 UOS63:UOS64 UYO63:UYO64 VIK63:VIK64 VSG63:VSG64 WCC63:WCC64 WLY63:WLY64 WVU63:WVU64 O81:O84 WVY89 JM89 TI89 ADE89 ANA89 AWW89 BGS89 BQO89 CAK89 CKG89 CUC89 DDY89 DNU89 DXQ89 EHM89 ERI89 FBE89 FLA89 FUW89 GES89 GOO89 GYK89 HIG89 HSC89 IBY89 ILU89 IVQ89 JFM89 JPI89 JZE89 KJA89 KSW89 LCS89 LMO89 LWK89 MGG89 MQC89 MZY89 NJU89 NTQ89 ODM89 ONI89 OXE89 PHA89 PQW89 QAS89 QKO89 QUK89 REG89 ROC89 RXY89 SHU89 SRQ89 TBM89 TLI89 TVE89 UFA89 UOW89 UYS89 VIO89 VSK89 WCG89 WMC89 P91 WVY69 JM69 TI69 ADE69 ANA69 AWW69 BGS69 BQO69 CAK69 CKG69 CUC69 DDY69 DNU69 DXQ69 EHM69 ERI69 FBE69 FLA69 FUW69 GES69 GOO69 GYK69 HIG69 HSC69 IBY69 ILU69 IVQ69 JFM69 JPI69 JZE69 KJA69 KSW69 LCS69 LMO69 LWK69 MGG69 MQC69 MZY69 NJU69 NTQ69 ODM69 ONI69 OXE69 PHA69 PQW69 QAS69 QKO69 QUK69 REG69 ROC69 RXY69 SHU69 SRQ69 TBM69 TLI69 TVE69 UFA69 UOW69 UYS69 VIO69 VSK69 WCG69 WMC69 P53 WVX71:WVX73 WMB71:WMB73 WCF71:WCF73 VSJ71:VSJ73 VIN71:VIN73 UYR71:UYR73 UOV71:UOV73 UEZ71:UEZ73 TVD71:TVD73 TLH71:TLH73 TBL71:TBL73 SRP71:SRP73 SHT71:SHT73 RXX71:RXX73 ROB71:ROB73 REF71:REF73 QUJ71:QUJ73 QKN71:QKN73 QAR71:QAR73 PQV71:PQV73 PGZ71:PGZ73 OXD71:OXD73 ONH71:ONH73 ODL71:ODL73 NTP71:NTP73 NJT71:NJT73 MZX71:MZX73 MQB71:MQB73 MGF71:MGF73 LWJ71:LWJ73 LMN71:LMN73 LCR71:LCR73 KSV71:KSV73 KIZ71:KIZ73 JZD71:JZD73 JPH71:JPH73 JFL71:JFL73 IVP71:IVP73 ILT71:ILT73 IBX71:IBX73 HSB71:HSB73 HIF71:HIF73 GYJ71:GYJ73 GON71:GON73 GER71:GER73 FUV71:FUV73 FKZ71:FKZ73 FBD71:FBD73 ERH71:ERH73 EHL71:EHL73 DXP71:DXP73 DNT71:DNT73 DDX71:DDX73 CUB71:CUB73 CKF71:CKF73 CAJ71:CAJ73 BQN71:BQN73 BGR71:BGR73 AWV71:AWV73 AMZ71:AMZ73 ADD71:ADD73 TH71:TH73 JL71:JL73 P73" xr:uid="{00000000-0002-0000-0400-000011000000}">
      <formula1>11</formula1>
    </dataValidation>
    <dataValidation type="textLength" operator="lessThanOrEqual" allowBlank="1" showInputMessage="1" showErrorMessage="1" errorTitle="DP ID-Client Id Account Number" error="Please enter the DP ID-Client Id Account Number less than or equal to 60 characters" sqref="F13 F35:F37 N54:N59 F54:F62 N90 L60:L62 F65 L65 L76:L79 F76:F79 N86:N87 F50:F52 N51:N52 N43:N47" xr:uid="{00000000-0002-0000-0400-000012000000}">
      <formula1>60</formula1>
    </dataValidation>
    <dataValidation type="textLength" operator="lessThanOrEqual" allowBlank="1" showInputMessage="1" showErrorMessage="1" errorTitle="Folio Number" error="Please enter the Folio Number  less than or equal to 20 characters" sqref="M13 M31 M34:M36 E35:E37 M43:M47 E54:E62 M93 K60:K62 E65 K65 M63:M64 K76:K79 E76:E79 M86:M87 M90 E50:E52 M51:M52 M54:M58" xr:uid="{00000000-0002-0000-0400-000013000000}">
      <formula1>20</formula1>
    </dataValidation>
    <dataValidation type="textLength" operator="lessThanOrEqual" allowBlank="1" showInputMessage="1" showErrorMessage="1" errorTitle="Last Name" error="Please enter the Last Name less than or equal to 35 characters" sqref="D13 D31 D35:D37 D54:D62 J54:J62 L90 D65 J65 J76:J79 D76:D79 L86:L87 J51:J52 D50:D52 L43:L47" xr:uid="{00000000-0002-0000-0400-000014000000}">
      <formula1>35</formula1>
    </dataValidation>
    <dataValidation type="textLength" operator="lessThanOrEqual" allowBlank="1" showInputMessage="1" showErrorMessage="1" errorTitle="Middle Name" error="Please enter the Middle Name less than or equal to 35 characters" sqref="C13 C31 C35:C37 C54:C62 I54:I62 K90 C65 I65 I76:I79 C76:C79 K86:K87 I51:I52 C50:C52 K43:K47" xr:uid="{00000000-0002-0000-0400-000015000000}">
      <formula1>35</formula1>
    </dataValidation>
    <dataValidation type="textLength" operator="lessThanOrEqual" allowBlank="1" showInputMessage="1" showErrorMessage="1" errorTitle="First Name" error="Please enter the First Name less than or equal to 35 characters" sqref="B13 B11 B21:B24 B31 B34:B37 B50:B62 B93 H60:H62 B65 H65 H76:H79 B76:B79 J86:J87 J90 B86:B87 J43:J47" xr:uid="{00000000-0002-0000-0400-000016000000}">
      <formula1>35</formula1>
    </dataValidation>
    <dataValidation type="whole" allowBlank="1" showInputMessage="1" showErrorMessage="1" errorTitle="Number of Shares held" error="Please enter only 15 digits." sqref="G13 O11 O31 O33:O36 N34:N36 G35:G37 O54:O59 G54:G62 O93 M60:M62 G65 M65 M76:M79 G76:G79 O86:O87 O90 G50:G52 O51:O52 O43:O47" xr:uid="{00000000-0002-0000-0400-000017000000}">
      <formula1>0</formula1>
      <formula2>999999999999999</formula2>
    </dataValidation>
    <dataValidation type="textLength" operator="lessThanOrEqual" allowBlank="1" showErrorMessage="1" errorTitle="Invalid Name" error="Lenght of Joint Holder Name Should be less than 100 characters." sqref="S85 JR85 TN85 ADJ85 ANF85 AXB85 BGX85 BQT85 CAP85 CKL85 CUH85 DED85 DNZ85 DXV85 EHR85 ERN85 FBJ85 FLF85 FVB85 GEX85 GOT85 GYP85 HIL85 HSH85 ICD85 ILZ85 IVV85 JFR85 JPN85 JZJ85 KJF85 KTB85 LCX85 LMT85 LWP85 MGL85 MQH85 NAD85 NJZ85 NTV85 ODR85 ONN85 OXJ85 PHF85 PRB85 QAX85 QKT85 QUP85 REL85 ROH85 RYD85 SHZ85 SRV85 TBR85 TLN85 TVJ85 UFF85 UPB85 UYX85 VIT85 VSP85 WCL85 WMH85 WWD85 JN63 TJ63 ADF63 ANB63 AWX63 BGT63 BQP63 CAL63 CKH63 CUD63 DDZ63 DNV63 DXR63 EHN63 ERJ63 FBF63 FLB63 FUX63 GET63 GOP63 GYL63 HIH63 HSD63 IBZ63 ILV63 IVR63 JFN63 JPJ63 JZF63 KJB63 KSX63 LCT63 LMP63 LWL63 MGH63 MQD63 MZZ63 NJV63 NTR63 ODN63 ONJ63 OXF63 PHB63 PQX63 QAT63 QKP63 QUL63 REH63 ROD63 RXZ63 SHV63 SRR63 TBN63 TLJ63 TVF63 UFB63 UOX63 UYT63 VIP63 VSL63 WCH63 WMD63 WVZ63 S63 S66" xr:uid="{00000000-0002-0000-0400-000018000000}">
      <formula1>100</formula1>
    </dataValidation>
    <dataValidation type="textLength" operator="lessThanOrEqual" allowBlank="1" showErrorMessage="1" errorTitle="Invalid Name" error="Length of Nominee Name should be less than 100 characters." sqref="U85 JQ85 TM85 ADI85 ANE85 AXA85 BGW85 BQS85 CAO85 CKK85 CUG85 DEC85 DNY85 DXU85 EHQ85 ERM85 FBI85 FLE85 FVA85 GEW85 GOS85 GYO85 HIK85 HSG85 ICC85 ILY85 IVU85 JFQ85 JPM85 JZI85 KJE85 KTA85 LCW85 LMS85 LWO85 MGK85 MQG85 NAC85 NJY85 NTU85 ODQ85 ONM85 OXI85 PHE85 PRA85 QAW85 QKS85 QUO85 REK85 ROG85 RYC85 SHY85 SRU85 TBQ85 TLM85 TVI85 UFE85 UPA85 UYW85 VIS85 VSO85 WCK85 WMG85 WWC85 JM63 TI63 ADE63 ANA63 AWW63 BGS63 BQO63 CAK63 CKG63 CUC63 DDY63 DNU63 DXQ63 EHM63 ERI63 FBE63 FLA63 FUW63 GES63 GOO63 GYK63 HIG63 HSC63 IBY63 ILU63 IVQ63 JFM63 JPI63 JZE63 KJA63 KSW63 LCS63 LMO63 LWK63 MGG63 MQC63 MZY63 NJU63 NTQ63 ODM63 ONI63 OXE63 PHA63 PQW63 QAS63 QKO63 QUK63 REG63 ROC63 RXY63 SHU63 SRQ63 TBM63 TLI63 TVE63 UFA63 UOW63 UYS63 VIO63 VSK63 WCG63 WMC63 WVY63 U63" xr:uid="{00000000-0002-0000-0400-000019000000}">
      <formula1>100</formula1>
    </dataValidation>
    <dataValidation type="textLength" operator="lessThanOrEqual" allowBlank="1" showErrorMessage="1" errorTitle="Invalid Remarks" error="Length of Remarks should be less than 100 characters." sqref="W85 JS85 TO85 ADK85 ANG85 AXC85 BGY85 BQU85 CAQ85 CKM85 CUI85 DEE85 DOA85 DXW85 EHS85 ERO85 FBK85 FLG85 FVC85 GEY85 GOU85 GYQ85 HIM85 HSI85 ICE85 IMA85 IVW85 JFS85 JPO85 JZK85 KJG85 KTC85 LCY85 LMU85 LWQ85 MGM85 MQI85 NAE85 NKA85 NTW85 ODS85 ONO85 OXK85 PHG85 PRC85 QAY85 QKU85 QUQ85 REM85 ROI85 RYE85 SIA85 SRW85 TBS85 TLO85 TVK85 UFG85 UPC85 UYY85 VIU85 VSQ85 WCM85 WMI85 WWE85 W63 JO63 TK63 ADG63 ANC63 AWY63 BGU63 BQQ63 CAM63 CKI63 CUE63 DEA63 DNW63 DXS63 EHO63 ERK63 FBG63 FLC63 FUY63 GEU63 GOQ63 GYM63 HII63 HSE63 ICA63 ILW63 IVS63 JFO63 JPK63 JZG63 KJC63 KSY63 LCU63 LMQ63 LWM63 MGI63 MQE63 NAA63 NJW63 NTS63 ODO63 ONK63 OXG63 PHC63 PQY63 QAU63 QKQ63 QUM63 REI63 ROE63 RYA63 SHW63 SRS63 TBO63 TLK63 TVG63 UFC63 UOY63 UYU63 VIQ63 VSM63 WCI63 WME63 WWA63" xr:uid="{00000000-0002-0000-0400-00001A000000}">
      <formula1>100</formula1>
    </dataValidation>
    <dataValidation type="textLength" operator="equal" allowBlank="1" showErrorMessage="1" errorTitle="Invalid Aadhar" error="Aadhar should contain 12 Numbers" sqref="WWB85 JP85 TL85 ADH85 AND85 AWZ85 BGV85 BQR85 CAN85 CKJ85 CUF85 DEB85 DNX85 DXT85 EHP85 ERL85 FBH85 FLD85 FUZ85 GEV85 GOR85 GYN85 HIJ85 HSF85 ICB85 ILX85 IVT85 JFP85 JPL85 JZH85 KJD85 KSZ85 LCV85 LMR85 LWN85 MGJ85 MQF85 NAB85 NJX85 NTT85 ODP85 ONL85 OXH85 PHD85 PQZ85 QAV85 QKR85 QUN85 REJ85 ROF85 RYB85 SHX85 SRT85 TBP85 TLL85 TVH85 UFD85 UOZ85 UYV85 VIR85 VSN85 WCJ85 WMF85 JL63 TH63 ADD63 AMZ63 AWV63 BGR63 BQN63 CAJ63 CKF63 CUB63 DDX63 DNT63 DXP63 EHL63 ERH63 FBD63 FKZ63 FUV63 GER63 GON63 GYJ63 HIF63 HSB63 IBX63 ILT63 IVP63 JFL63 JPH63 JZD63 KIZ63 KSV63 LCR63 LMN63 LWJ63 MGF63 MQB63 MZX63 NJT63 NTP63 ODL63 ONH63 OXD63 PGZ63 PQV63 QAR63 QKN63 QUJ63 REF63 ROB63 RXX63 SHT63 SRP63 TBL63 TLH63 TVD63 UEZ63 UOV63 UYR63 VIN63 VSJ63 WCF63 WMB63 WVX63 T63:T64 T57" xr:uid="{00000000-0002-0000-0400-00001B000000}">
      <formula1>12</formula1>
    </dataValidation>
    <dataValidation type="textLength" operator="equal" allowBlank="1" showErrorMessage="1" errorTitle="Invalid Date" error="Invalid Date Format" sqref="JO85 TK85 ADG85 ANC85 AWY85 BGU85 BQQ85 CAM85 CKI85 CUE85 DEA85 DNW85 DXS85 EHO85 ERK85 FBG85 FLC85 FUY85 GEU85 GOQ85 GYM85 HII85 HSE85 ICA85 ILW85 IVS85 JFO85 JPK85 JZG85 KJC85 KSY85 LCU85 LMQ85 LWM85 MGI85 MQE85 NAA85 NJW85 NTS85 ODO85 ONK85 OXG85 PHC85 PQY85 QAU85 QKQ85 QUM85 REI85 ROE85 RYA85 SHW85 SRS85 TBO85 TLK85 TVG85 UFC85 UOY85 UYU85 VIQ85 VSM85 WCI85 WME85 WWA85 JK63 TG63 ADC63 AMY63 AWU63 BGQ63 BQM63 CAI63 CKE63 CUA63 DDW63 DNS63 DXO63 EHK63 ERG63 FBC63 FKY63 FUU63 GEQ63 GOM63 GYI63 HIE63 HSA63 IBW63 ILS63 IVO63 JFK63 JPG63 JZC63 KIY63 KSU63 LCQ63 LMM63 LWI63 MGE63 MQA63 MZW63 NJS63 NTO63 ODK63 ONG63 OXC63 PGY63 PQU63 QAQ63 QKM63 QUI63 REE63 ROA63 RXW63 SHS63 SRO63 TBK63 TLG63 TVC63 UEY63 UOU63 UYQ63 VIM63 VSI63 WCE63 WMA63 WVW63" xr:uid="{00000000-0002-0000-0400-00001C000000}">
      <formula1>11</formula1>
    </dataValidation>
    <dataValidation type="textLength" operator="equal" allowBlank="1" showErrorMessage="1" errorTitle="Invalid PAN" error="PAN should be 10 characters" sqref="WLZ63 JN85 TJ85 ADF85 ANB85 AWX85 BGT85 BQP85 CAL85 CKH85 CUD85 DDZ85 DNV85 DXR85 EHN85 ERJ85 FBF85 FLB85 FUX85 GET85 GOP85 GYL85 HIH85 HSD85 IBZ85 ILV85 IVR85 JFN85 JPJ85 JZF85 KJB85 KSX85 LCT85 LMP85 LWL85 MGH85 MQD85 MZZ85 NJV85 NTR85 ODN85 ONJ85 OXF85 PHB85 PQX85 QAT85 QKP85 QUL85 REH85 ROD85 RXZ85 SHV85 SRR85 TBN85 TLJ85 TVF85 UFB85 UOX85 UYT85 VIP85 VSL85 WCH85 WMD85 WVZ85 WVV63 JJ63 TF63 ADB63 AMX63 AWT63 BGP63 BQL63 CAH63 CKD63 CTZ63 DDV63 DNR63 DXN63 EHJ63 ERF63 FBB63 FKX63 FUT63 GEP63 GOL63 GYH63 HID63 HRZ63 IBV63 ILR63 IVN63 JFJ63 JPF63 JZB63 KIX63 KST63 LCP63 LML63 LWH63 MGD63 MPZ63 MZV63 NJR63 NTN63 ODJ63 ONF63 OXB63 PGX63 PQT63 QAP63 QKL63 QUH63 RED63 RNZ63 RXV63 SHR63 SRN63 TBJ63 TLF63 TVB63 UEX63 UOT63 UYP63 VIL63 VSH63 WCD63" xr:uid="{00000000-0002-0000-0400-00001D000000}">
      <formula1>10</formula1>
    </dataValidation>
    <dataValidation type="list" allowBlank="1" showInputMessage="1" showErrorMessage="1" sqref="X85 JT85 TP85 ADL85 ANH85 AXD85 BGZ85 BQV85 CAR85 CKN85 CUJ85 DEF85 DOB85 DXX85 EHT85 ERP85 FBL85 FLH85 FVD85 GEZ85 GOV85 GYR85 HIN85 HSJ85 ICF85 IMB85 IVX85 JFT85 JPP85 JZL85 KJH85 KTD85 LCZ85 LMV85 LWR85 MGN85 MQJ85 NAF85 NKB85 NTX85 ODT85 ONP85 OXL85 PHH85 PRD85 QAZ85 QKV85 QUR85 REN85 ROJ85 RYF85 SIB85 SRX85 TBT85 TLP85 TVL85 UFH85 UPD85 UYZ85 VIV85 VSR85 WCN85 WMJ85 WWF85 X63 JP63 TL63 ADH63 AND63 AWZ63 BGV63 BQR63 CAN63 CKJ63 CUF63 DEB63 DNX63 DXT63 EHP63 ERL63 FBH63 FLD63 FUZ63 GEV63 GOR63 GYN63 HIJ63 HSF63 ICB63 ILX63 IVT63 JFP63 JPL63 JZH63 KJD63 KSZ63 LCV63 LMR63 LWN63 MGJ63 MQF63 NAB63 NJX63 NTT63 ODP63 ONL63 OXH63 PHD63 PQZ63 QAV63 QKR63 QUN63 REJ63 ROF63 RYB63 SHX63 SRT63 TBP63 TLL63 TVH63 UFD63 UOZ63 UYV63 VIR63 VSN63 WCJ63 WMF63 WWB63" xr:uid="{00000000-0002-0000-0400-00001E000000}">
      <formula1>formula</formula1>
    </dataValidation>
    <dataValidation type="list" allowBlank="1" showInputMessage="1" showErrorMessage="1" errorTitle="Invalid Input" error="Please select a valid Investment Type from the drop-down list" sqref="O85 JK85 TG85 ADC85 AMY85 AWU85 BGQ85 BQM85 CAI85 CKE85 CUA85 DDW85 DNS85 DXO85 EHK85 ERG85 FBC85 FKY85 FUU85 GEQ85 GOM85 GYI85 HIE85 HSA85 IBW85 ILS85 IVO85 JFK85 JPG85 JZC85 KIY85 KSU85 LCQ85 LMM85 LWI85 MGE85 MQA85 MZW85 NJS85 NTO85 ODK85 ONG85 OXC85 PGY85 PQU85 QAQ85 QKM85 QUI85 REE85 ROA85 RXW85 SHS85 SRO85 TBK85 TLG85 TVC85 UEY85 UOU85 UYQ85 VIM85 VSI85 WCE85 WMA85 WVW85 O63 JG63 TC63 ACY63 AMU63 AWQ63 BGM63 BQI63 CAE63 CKA63 CTW63 DDS63 DNO63 DXK63 EHG63 ERC63 FAY63 FKU63 FUQ63 GEM63 GOI63 GYE63 HIA63 HRW63 IBS63 ILO63 IVK63 JFG63 JPC63 JYY63 KIU63 KSQ63 LCM63 LMI63 LWE63 MGA63 MPW63 MZS63 NJO63 NTK63 ODG63 ONC63 OWY63 PGU63 PQQ63 QAM63 QKI63 QUE63 REA63 RNW63 RXS63 SHO63 SRK63 TBG63 TLC63 TUY63 UEU63 UOQ63 UYM63 VII63 VSE63 WCA63 WLW63 WVS63" xr:uid="{00000000-0002-0000-0400-00001F000000}">
      <formula1>InvestmentType</formula1>
    </dataValidation>
    <dataValidation type="textLength" operator="lessThanOrEqual" allowBlank="1" showInputMessage="1" showErrorMessage="1" errorTitle="Input Error" error="You cannot enter Address more than 300 characters." sqref="H85 JD85 SZ85 ACV85 AMR85 AWN85 BGJ85 BQF85 CAB85 CJX85 CTT85 DDP85 DNL85 DXH85 EHD85 EQZ85 FAV85 FKR85 FUN85 GEJ85 GOF85 GYB85 HHX85 HRT85 IBP85 ILL85 IVH85 JFD85 JOZ85 JYV85 KIR85 KSN85 LCJ85 LMF85 LWB85 MFX85 MPT85 MZP85 NJL85 NTH85 ODD85 OMZ85 OWV85 PGR85 PQN85 QAJ85 QKF85 QUB85 RDX85 RNT85 RXP85 SHL85 SRH85 TBD85 TKZ85 TUV85 UER85 UON85 UYJ85 VIF85 VSB85 WBX85 WLT85 WVP85 H63 IZ63 SV63 ACR63 AMN63 AWJ63 BGF63 BQB63 BZX63 CJT63 CTP63 DDL63 DNH63 DXD63 EGZ63 EQV63 FAR63 FKN63 FUJ63 GEF63 GOB63 GXX63 HHT63 HRP63 IBL63 ILH63 IVD63 JEZ63 JOV63 JYR63 KIN63 KSJ63 LCF63 LMB63 LVX63 MFT63 MPP63 MZL63 NJH63 NTD63 OCZ63 OMV63 OWR63 PGN63 PQJ63 QAF63 QKB63 QTX63 RDT63 RNP63 RXL63 SHH63 SRD63 TAZ63 TKV63 TUR63 UEN63 UOJ63 UYF63 VIB63 VRX63 WBT63 WLP63 WVL63" xr:uid="{00000000-0002-0000-0400-000020000000}">
      <formula1>300</formula1>
    </dataValidation>
    <dataValidation type="textLength" operator="lessThanOrEqual" allowBlank="1" showInputMessage="1" showErrorMessage="1" errorTitle="input Error" error="You cannot enter Name more than 35 characters." sqref="E85:G85 JA85:JC85 SW85:SY85 ACS85:ACU85 AMO85:AMQ85 AWK85:AWM85 BGG85:BGI85 BQC85:BQE85 BZY85:CAA85 CJU85:CJW85 CTQ85:CTS85 DDM85:DDO85 DNI85:DNK85 DXE85:DXG85 EHA85:EHC85 EQW85:EQY85 FAS85:FAU85 FKO85:FKQ85 FUK85:FUM85 GEG85:GEI85 GOC85:GOE85 GXY85:GYA85 HHU85:HHW85 HRQ85:HRS85 IBM85:IBO85 ILI85:ILK85 IVE85:IVG85 JFA85:JFC85 JOW85:JOY85 JYS85:JYU85 KIO85:KIQ85 KSK85:KSM85 LCG85:LCI85 LMC85:LME85 LVY85:LWA85 MFU85:MFW85 MPQ85:MPS85 MZM85:MZO85 NJI85:NJK85 NTE85:NTG85 ODA85:ODC85 OMW85:OMY85 OWS85:OWU85 PGO85:PGQ85 PQK85:PQM85 QAG85:QAI85 QKC85:QKE85 QTY85:QUA85 RDU85:RDW85 RNQ85:RNS85 RXM85:RXO85 SHI85:SHK85 SRE85:SRG85 TBA85:TBC85 TKW85:TKY85 TUS85:TUU85 UEO85:UEQ85 UOK85:UOM85 UYG85:UYI85 VIC85:VIE85 VRY85:VSA85 WBU85:WBW85 WLQ85:WLS85 WVM85:WVO85 E63:G63 IW63:IY63 SS63:SU63 ACO63:ACQ63 AMK63:AMM63 AWG63:AWI63 BGC63:BGE63 BPY63:BQA63 BZU63:BZW63 CJQ63:CJS63 CTM63:CTO63 DDI63:DDK63 DNE63:DNG63 DXA63:DXC63 EGW63:EGY63 EQS63:EQU63 FAO63:FAQ63 FKK63:FKM63 FUG63:FUI63 GEC63:GEE63 GNY63:GOA63 GXU63:GXW63 HHQ63:HHS63 HRM63:HRO63 IBI63:IBK63 ILE63:ILG63 IVA63:IVC63 JEW63:JEY63 JOS63:JOU63 JYO63:JYQ63 KIK63:KIM63 KSG63:KSI63 LCC63:LCE63 LLY63:LMA63 LVU63:LVW63 MFQ63:MFS63 MPM63:MPO63 MZI63:MZK63 NJE63:NJG63 NTA63:NTC63 OCW63:OCY63 OMS63:OMU63 OWO63:OWQ63 PGK63:PGM63 PQG63:PQI63 QAC63:QAE63 QJY63:QKA63 QTU63:QTW63 RDQ63:RDS63 RNM63:RNO63 RXI63:RXK63 SHE63:SHG63 SRA63:SRC63 TAW63:TAY63 TKS63:TKU63 TUO63:TUQ63 UEK63:UEM63 UOG63:UOI63 UYC63:UYE63 VHY63:VIA63 VRU63:VRW63 WBQ63:WBS63 WLM63:WLO63 WVI63:WVK63" xr:uid="{00000000-0002-0000-0400-000021000000}">
      <formula1>35</formula1>
    </dataValidation>
    <dataValidation type="textLength" operator="lessThanOrEqual" allowBlank="1" showInputMessage="1" showErrorMessage="1" errorTitle="Input Error" error="You cannot enter Name more than 35 characters." sqref="B85:D85 IX85:IZ85 ST85:SV85 ACP85:ACR85 AML85:AMN85 AWH85:AWJ85 BGD85:BGF85 BPZ85:BQB85 BZV85:BZX85 CJR85:CJT85 CTN85:CTP85 DDJ85:DDL85 DNF85:DNH85 DXB85:DXD85 EGX85:EGZ85 EQT85:EQV85 FAP85:FAR85 FKL85:FKN85 FUH85:FUJ85 GED85:GEF85 GNZ85:GOB85 GXV85:GXX85 HHR85:HHT85 HRN85:HRP85 IBJ85:IBL85 ILF85:ILH85 IVB85:IVD85 JEX85:JEZ85 JOT85:JOV85 JYP85:JYR85 KIL85:KIN85 KSH85:KSJ85 LCD85:LCF85 LLZ85:LMB85 LVV85:LVX85 MFR85:MFT85 MPN85:MPP85 MZJ85:MZL85 NJF85:NJH85 NTB85:NTD85 OCX85:OCZ85 OMT85:OMV85 OWP85:OWR85 PGL85:PGN85 PQH85:PQJ85 QAD85:QAF85 QJZ85:QKB85 QTV85:QTX85 RDR85:RDT85 RNN85:RNP85 RXJ85:RXL85 SHF85:SHH85 SRB85:SRD85 TAX85:TAZ85 TKT85:TKV85 TUP85:TUR85 UEL85:UEN85 UOH85:UOJ85 UYD85:UYF85 VHZ85:VIB85 VRV85:VRX85 WBR85:WBT85 WLN85:WLP85 WVJ85:WVL85 B63:D63 IT63:IV63 SP63:SR63 ACL63:ACN63 AMH63:AMJ63 AWD63:AWF63 BFZ63:BGB63 BPV63:BPX63 BZR63:BZT63 CJN63:CJP63 CTJ63:CTL63 DDF63:DDH63 DNB63:DND63 DWX63:DWZ63 EGT63:EGV63 EQP63:EQR63 FAL63:FAN63 FKH63:FKJ63 FUD63:FUF63 GDZ63:GEB63 GNV63:GNX63 GXR63:GXT63 HHN63:HHP63 HRJ63:HRL63 IBF63:IBH63 ILB63:ILD63 IUX63:IUZ63 JET63:JEV63 JOP63:JOR63 JYL63:JYN63 KIH63:KIJ63 KSD63:KSF63 LBZ63:LCB63 LLV63:LLX63 LVR63:LVT63 MFN63:MFP63 MPJ63:MPL63 MZF63:MZH63 NJB63:NJD63 NSX63:NSZ63 OCT63:OCV63 OMP63:OMR63 OWL63:OWN63 PGH63:PGJ63 PQD63:PQF63 PZZ63:QAB63 QJV63:QJX63 QTR63:QTT63 RDN63:RDP63 RNJ63:RNL63 RXF63:RXH63 SHB63:SHD63 SQX63:SQZ63 TAT63:TAV63 TKP63:TKR63 TUL63:TUN63 UEH63:UEJ63 UOD63:UOF63 UXZ63:UYB63 VHV63:VHX63 VRR63:VRT63 WBN63:WBP63 WLJ63:WLL63 WVF63:WVH63" xr:uid="{00000000-0002-0000-0400-000022000000}">
      <formula1>35</formula1>
    </dataValidation>
    <dataValidation type="list" allowBlank="1" showInputMessage="1" showErrorMessage="1" errorTitle="Invalid Input" error="Please select a valid Country from the dropdown" sqref="I85 JE85 TA85 ACW85 AMS85 AWO85 BGK85 BQG85 CAC85 CJY85 CTU85 DDQ85 DNM85 DXI85 EHE85 ERA85 FAW85 FKS85 FUO85 GEK85 GOG85 GYC85 HHY85 HRU85 IBQ85 ILM85 IVI85 JFE85 JPA85 JYW85 KIS85 KSO85 LCK85 LMG85 LWC85 MFY85 MPU85 MZQ85 NJM85 NTI85 ODE85 ONA85 OWW85 PGS85 PQO85 QAK85 QKG85 QUC85 RDY85 RNU85 RXQ85 SHM85 SRI85 TBE85 TLA85 TUW85 UES85 UOO85 UYK85 VIG85 VSC85 WBY85 WLU85 WVQ85 I63 JA63 SW63 ACS63 AMO63 AWK63 BGG63 BQC63 BZY63 CJU63 CTQ63 DDM63 DNI63 DXE63 EHA63 EQW63 FAS63 FKO63 FUK63 GEG63 GOC63 GXY63 HHU63 HRQ63 IBM63 ILI63 IVE63 JFA63 JOW63 JYS63 KIO63 KSK63 LCG63 LMC63 LVY63 MFU63 MPQ63 MZM63 NJI63 NTE63 ODA63 OMW63 OWS63 PGO63 PQK63 QAG63 QKC63 QTY63 RDU63 RNQ63 RXM63 SHI63 SRE63 TBA63 TKW63 TUS63 UEO63 UOK63 UYG63 VIC63 VRY63 WBU63 WLQ63 WVM63" xr:uid="{00000000-0002-0000-0400-000023000000}">
      <formula1>Country</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Sheet5</vt:lpstr>
      <vt:lpstr>Jeevanthika</vt:lpstr>
      <vt:lpstr>Iepf search</vt:lpstr>
      <vt:lpstr>mca</vt:lpstr>
      <vt:lpstr>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Yashvanth Kumar</cp:lastModifiedBy>
  <dcterms:created xsi:type="dcterms:W3CDTF">2015-06-05T18:17:20Z</dcterms:created>
  <dcterms:modified xsi:type="dcterms:W3CDTF">2025-07-21T05:33:21Z</dcterms:modified>
</cp:coreProperties>
</file>